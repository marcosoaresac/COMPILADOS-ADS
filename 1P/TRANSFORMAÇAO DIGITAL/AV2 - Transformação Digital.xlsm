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EstaPastaDeTrabalho" defaultThemeVersion="166925"/>
  <mc:AlternateContent xmlns:mc="http://schemas.openxmlformats.org/markup-compatibility/2006">
    <mc:Choice Requires="x15">
      <x15ac:absPath xmlns:x15ac="http://schemas.microsoft.com/office/spreadsheetml/2010/11/ac" url="C:\Users\SEARCH\Desktop\Geral\Pessoal\Faculdade\2022.1\02-Transformação Digital\"/>
    </mc:Choice>
  </mc:AlternateContent>
  <xr:revisionPtr revIDLastSave="0" documentId="8_{85473C22-CDFB-4B89-9593-A210B204B969}" xr6:coauthVersionLast="47" xr6:coauthVersionMax="47" xr10:uidLastSave="{00000000-0000-0000-0000-000000000000}"/>
  <workbookProtection workbookAlgorithmName="SHA-512" workbookHashValue="UJENSPajGMfif/VnYO9mGx4qN+anjy4SgURGtp8SrzBXWkraVAQbAUiUDiXTfzxVYkSCWE5hBuHjT1i5OMqwaA==" workbookSaltValue="MoZXl9vPpzIQRW1sYo/TpA==" workbookSpinCount="100000" lockStructure="1"/>
  <bookViews>
    <workbookView xWindow="23880" yWindow="-120" windowWidth="19800" windowHeight="11760" xr2:uid="{7375E411-83D3-41A7-BDF3-3D0AE2F3B18B}"/>
  </bookViews>
  <sheets>
    <sheet name="P00" sheetId="1" r:id="rId1"/>
    <sheet name="P01" sheetId="2" state="hidden" r:id="rId2"/>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ZS3" i="2" l="1"/>
  <c r="WZW7" i="2"/>
  <c r="WZS4" i="2" l="1"/>
  <c r="XAC3" i="2"/>
  <c r="XAC4" i="2"/>
  <c r="XAC5" i="2"/>
  <c r="XAC6" i="2"/>
  <c r="XAC7" i="2"/>
  <c r="XAC8" i="2"/>
  <c r="XAC9" i="2"/>
  <c r="XAC10" i="2"/>
  <c r="XAC11" i="2"/>
  <c r="XAC12" i="2"/>
  <c r="XAC13" i="2"/>
  <c r="XAC14" i="2"/>
  <c r="XAC15" i="2"/>
  <c r="XAC16" i="2"/>
  <c r="XAC17" i="2"/>
  <c r="XAC18" i="2"/>
  <c r="XAC19" i="2"/>
  <c r="XAC20" i="2"/>
  <c r="XAC21" i="2"/>
  <c r="XAC22" i="2"/>
  <c r="XAC23" i="2"/>
  <c r="XAC24" i="2"/>
  <c r="XAC25" i="2"/>
  <c r="XAC26" i="2"/>
  <c r="XAC27" i="2"/>
  <c r="XAC28" i="2"/>
  <c r="XAC29" i="2"/>
  <c r="XAC30" i="2"/>
  <c r="XAC31" i="2"/>
  <c r="XAC32" i="2"/>
  <c r="XAC33" i="2"/>
  <c r="XAC34" i="2"/>
  <c r="XAC35" i="2"/>
  <c r="XAC36" i="2"/>
  <c r="XAC37" i="2"/>
  <c r="XAC38" i="2"/>
  <c r="XAC39" i="2"/>
  <c r="XAC40" i="2"/>
  <c r="XAC41" i="2"/>
  <c r="XAC42" i="2"/>
  <c r="XAC43" i="2"/>
  <c r="XAC44" i="2"/>
  <c r="XAC45" i="2"/>
  <c r="XAC46" i="2"/>
  <c r="XAC47" i="2"/>
  <c r="XAC48" i="2"/>
  <c r="XAC49" i="2"/>
  <c r="XAC50" i="2"/>
  <c r="XAC51" i="2"/>
  <c r="XAC52" i="2"/>
  <c r="XAC53" i="2"/>
  <c r="XAC54" i="2"/>
  <c r="XAC55" i="2"/>
  <c r="XAC56" i="2"/>
  <c r="XAC57" i="2"/>
  <c r="XAC58" i="2"/>
  <c r="XAC59" i="2"/>
  <c r="XAC60" i="2"/>
  <c r="XAC61" i="2"/>
  <c r="XAC62" i="2"/>
  <c r="XAC63" i="2"/>
  <c r="XAC64" i="2"/>
  <c r="XAC65" i="2"/>
  <c r="XAC66" i="2"/>
  <c r="XAC67" i="2"/>
  <c r="XAC68" i="2"/>
  <c r="XAC69" i="2"/>
  <c r="XAC70" i="2"/>
  <c r="XAC71" i="2"/>
  <c r="XAC72" i="2"/>
  <c r="XAC73" i="2"/>
  <c r="XAC74" i="2"/>
  <c r="XAC75" i="2"/>
  <c r="XAC76" i="2"/>
  <c r="XAC77" i="2"/>
  <c r="XAC78" i="2"/>
  <c r="XAC79" i="2"/>
  <c r="XAC80" i="2"/>
  <c r="XAC81" i="2"/>
  <c r="XAC82" i="2"/>
  <c r="XAC83" i="2"/>
  <c r="XAC84" i="2"/>
  <c r="XAC85" i="2"/>
  <c r="XAC86" i="2"/>
  <c r="XAC87" i="2"/>
  <c r="XAC88" i="2"/>
  <c r="XAC89" i="2"/>
  <c r="XAC90" i="2"/>
  <c r="XAC91" i="2"/>
  <c r="XAC92" i="2"/>
  <c r="XAC93" i="2"/>
  <c r="XAC94" i="2"/>
  <c r="XAC95" i="2"/>
  <c r="XAC96" i="2"/>
  <c r="XAC97" i="2"/>
  <c r="XAC98" i="2"/>
  <c r="XAC99" i="2"/>
  <c r="XAC100" i="2"/>
  <c r="XAC101" i="2"/>
  <c r="XAC102" i="2"/>
  <c r="XAC103" i="2"/>
  <c r="XAC104" i="2"/>
  <c r="XAC105" i="2"/>
  <c r="XAC106" i="2"/>
  <c r="XAC107" i="2"/>
  <c r="XAC108" i="2"/>
  <c r="XAC109" i="2"/>
  <c r="XAC110" i="2"/>
  <c r="XAC111" i="2"/>
  <c r="XAC112" i="2"/>
  <c r="XAC113" i="2"/>
  <c r="XAC114" i="2"/>
  <c r="XAC115" i="2"/>
  <c r="XAC116" i="2"/>
  <c r="XAC117" i="2"/>
  <c r="XAC118" i="2"/>
  <c r="XAC119" i="2"/>
  <c r="XAC120" i="2"/>
  <c r="XAC121" i="2"/>
  <c r="XAC122" i="2"/>
  <c r="XAC123" i="2"/>
  <c r="XAC124" i="2"/>
  <c r="XAC125" i="2"/>
  <c r="XAC126" i="2"/>
  <c r="XAC127" i="2"/>
  <c r="XAC128" i="2"/>
  <c r="XAC129" i="2"/>
  <c r="XAC130" i="2"/>
  <c r="XAC131" i="2"/>
  <c r="XAC132" i="2"/>
  <c r="XAC133" i="2"/>
  <c r="XAC134" i="2"/>
  <c r="XAC135" i="2"/>
  <c r="XAC136" i="2"/>
  <c r="XAC137" i="2"/>
  <c r="XAC138" i="2"/>
  <c r="XAC139" i="2"/>
  <c r="XAC140" i="2"/>
  <c r="XAC141" i="2"/>
  <c r="XAC142" i="2"/>
  <c r="XAC143" i="2"/>
  <c r="XAC144" i="2"/>
  <c r="XAC145" i="2"/>
  <c r="XAC146" i="2"/>
  <c r="XAC147" i="2"/>
  <c r="XAC148" i="2"/>
  <c r="XAC149" i="2"/>
  <c r="XAC150" i="2"/>
  <c r="XAC151" i="2"/>
  <c r="XAC152" i="2"/>
  <c r="XAC153" i="2"/>
  <c r="XAC154" i="2"/>
  <c r="XAC155" i="2"/>
  <c r="XAC156" i="2"/>
  <c r="XAC157" i="2"/>
  <c r="XAC158" i="2"/>
  <c r="XAC159" i="2"/>
  <c r="XAC160" i="2"/>
  <c r="XAC161" i="2"/>
  <c r="XAC162" i="2"/>
  <c r="XAC163" i="2"/>
  <c r="XAC164" i="2"/>
  <c r="XAC165" i="2"/>
  <c r="XAC166" i="2"/>
  <c r="XAC167" i="2"/>
  <c r="XAC168" i="2"/>
  <c r="XAC169" i="2"/>
  <c r="XAC170" i="2"/>
  <c r="XAC171" i="2"/>
  <c r="XAC172" i="2"/>
  <c r="XAC173" i="2"/>
  <c r="XAC174" i="2"/>
  <c r="XAC175" i="2"/>
  <c r="XAC176" i="2"/>
  <c r="XAC177" i="2"/>
  <c r="XAC178" i="2"/>
  <c r="XAC179" i="2"/>
  <c r="XAC180" i="2"/>
  <c r="XAC181" i="2"/>
  <c r="XAC182" i="2"/>
  <c r="XAC183" i="2"/>
  <c r="XAC184" i="2"/>
  <c r="XAC185" i="2"/>
  <c r="XAC186" i="2"/>
  <c r="XAC187" i="2"/>
  <c r="XAC188" i="2"/>
  <c r="XAC189" i="2"/>
  <c r="XAC190" i="2"/>
  <c r="XAC191" i="2"/>
  <c r="XAC192" i="2"/>
  <c r="XAC193" i="2"/>
  <c r="XAC194" i="2"/>
  <c r="XAC195" i="2"/>
  <c r="XAC196" i="2"/>
  <c r="XAC197" i="2"/>
  <c r="XAC198" i="2"/>
  <c r="XAC199" i="2"/>
  <c r="XAC200" i="2"/>
  <c r="XAC201" i="2"/>
  <c r="XAC202" i="2"/>
  <c r="XAC203" i="2"/>
  <c r="XAC204" i="2"/>
  <c r="XAC205" i="2"/>
  <c r="XAC206" i="2"/>
  <c r="XAC207" i="2"/>
  <c r="XAC208" i="2"/>
  <c r="XAC209" i="2"/>
  <c r="XAC210" i="2"/>
  <c r="XAC211" i="2"/>
  <c r="XAC212" i="2"/>
  <c r="XAC213" i="2"/>
  <c r="XAC214" i="2"/>
  <c r="XAC215" i="2"/>
  <c r="XAC216" i="2"/>
  <c r="XAC217" i="2"/>
  <c r="XAC218" i="2"/>
  <c r="XAC219" i="2"/>
  <c r="XAC220" i="2"/>
  <c r="XAC221" i="2"/>
  <c r="XAC222" i="2"/>
  <c r="XAC223" i="2"/>
  <c r="XAC224" i="2"/>
  <c r="XAC225" i="2"/>
  <c r="XAC226" i="2"/>
  <c r="XAC227" i="2"/>
  <c r="XAC228" i="2"/>
  <c r="XAC229" i="2"/>
  <c r="XAC230" i="2"/>
  <c r="XAC231" i="2"/>
  <c r="XAC232" i="2"/>
  <c r="XAC233" i="2"/>
  <c r="XAC234" i="2"/>
  <c r="XAC235" i="2"/>
  <c r="XAC236" i="2"/>
  <c r="XAC237" i="2"/>
  <c r="XAC238" i="2"/>
  <c r="XAC239" i="2"/>
  <c r="XAC240" i="2"/>
  <c r="XAC241" i="2"/>
  <c r="XAC242" i="2"/>
  <c r="XAC243" i="2"/>
  <c r="XAC244" i="2"/>
  <c r="XAC245" i="2"/>
  <c r="XAC246" i="2"/>
  <c r="XAC247" i="2"/>
  <c r="XAC248" i="2"/>
  <c r="XAC249" i="2"/>
  <c r="XAC250" i="2"/>
  <c r="XAC251" i="2"/>
  <c r="XAC252" i="2"/>
  <c r="XAC253" i="2"/>
  <c r="XAC254" i="2"/>
  <c r="XAC2" i="2"/>
  <c r="WZS9" i="2" l="1"/>
  <c r="WZS8" i="2"/>
  <c r="WZS7" i="2"/>
  <c r="XAA3" i="2"/>
  <c r="XAA7" i="2"/>
  <c r="XAA11" i="2"/>
  <c r="XAA15" i="2"/>
  <c r="XAA19" i="2"/>
  <c r="XAA23" i="2"/>
  <c r="XAA26" i="2"/>
  <c r="XAA29" i="2"/>
  <c r="XAA36" i="2"/>
  <c r="XAA39" i="2"/>
  <c r="XAA43" i="2"/>
  <c r="XAA50" i="2"/>
  <c r="XAA53" i="2"/>
  <c r="XAA56" i="2"/>
  <c r="XAA59" i="2"/>
  <c r="XAA66" i="2"/>
  <c r="XAA69" i="2"/>
  <c r="XAA72" i="2"/>
  <c r="XAA75" i="2"/>
  <c r="XAA82" i="2"/>
  <c r="XAA85" i="2"/>
  <c r="XAA88" i="2"/>
  <c r="XAA91" i="2"/>
  <c r="XAA98" i="2"/>
  <c r="XAA101" i="2"/>
  <c r="XAA104" i="2"/>
  <c r="XAA107" i="2"/>
  <c r="XAA114" i="2"/>
  <c r="XAA117" i="2"/>
  <c r="XAA120" i="2"/>
  <c r="XAA123" i="2"/>
  <c r="XAA130" i="2"/>
  <c r="XAA133" i="2"/>
  <c r="XAA136" i="2"/>
  <c r="XAA139" i="2"/>
  <c r="XAA146" i="2"/>
  <c r="XAA149" i="2"/>
  <c r="XAA152" i="2"/>
  <c r="XAA155" i="2"/>
  <c r="XAA162" i="2"/>
  <c r="XAA165" i="2"/>
  <c r="XAA168" i="2"/>
  <c r="XAA171" i="2"/>
  <c r="XAA173" i="2"/>
  <c r="XAA175" i="2"/>
  <c r="XAA177" i="2"/>
  <c r="XAA179" i="2"/>
  <c r="XAA181" i="2"/>
  <c r="XAA183" i="2"/>
  <c r="XAA185" i="2"/>
  <c r="XAA187" i="2"/>
  <c r="XAA189" i="2"/>
  <c r="XAA191" i="2"/>
  <c r="XAA193" i="2"/>
  <c r="XAA195" i="2"/>
  <c r="XAA197" i="2"/>
  <c r="XAA199" i="2"/>
  <c r="XAA201" i="2"/>
  <c r="XAA203" i="2"/>
  <c r="XAA205" i="2"/>
  <c r="XAA207" i="2"/>
  <c r="XAA209" i="2"/>
  <c r="XAA211" i="2"/>
  <c r="XAA213" i="2"/>
  <c r="XAA215" i="2"/>
  <c r="XAA217" i="2"/>
  <c r="XAA219" i="2"/>
  <c r="XAA221" i="2"/>
  <c r="XAA223" i="2"/>
  <c r="XAA225" i="2"/>
  <c r="XAA227" i="2"/>
  <c r="XAA229" i="2"/>
  <c r="XAA231" i="2"/>
  <c r="XAA233" i="2"/>
  <c r="XAA235" i="2"/>
  <c r="XAA4" i="2"/>
  <c r="XAA8" i="2"/>
  <c r="XAA12" i="2"/>
  <c r="XAA16" i="2"/>
  <c r="XAA20" i="2"/>
  <c r="XAA24" i="2"/>
  <c r="XAA27" i="2"/>
  <c r="XAA30" i="2"/>
  <c r="XAA33" i="2"/>
  <c r="XAA40" i="2"/>
  <c r="XAA44" i="2"/>
  <c r="XAA47" i="2"/>
  <c r="XAA54" i="2"/>
  <c r="XAA57" i="2"/>
  <c r="XAA60" i="2"/>
  <c r="XAA63" i="2"/>
  <c r="XAA70" i="2"/>
  <c r="XAA73" i="2"/>
  <c r="XAA76" i="2"/>
  <c r="XAA79" i="2"/>
  <c r="XAA86" i="2"/>
  <c r="XAA89" i="2"/>
  <c r="XAA92" i="2"/>
  <c r="XAA95" i="2"/>
  <c r="XAA102" i="2"/>
  <c r="XAA105" i="2"/>
  <c r="XAA108" i="2"/>
  <c r="XAA111" i="2"/>
  <c r="XAA118" i="2"/>
  <c r="XAA121" i="2"/>
  <c r="XAA124" i="2"/>
  <c r="XAA127" i="2"/>
  <c r="XAA134" i="2"/>
  <c r="XAA137" i="2"/>
  <c r="XAA140" i="2"/>
  <c r="XAA143" i="2"/>
  <c r="XAA150" i="2"/>
  <c r="XAA153" i="2"/>
  <c r="XAA156" i="2"/>
  <c r="XAA159" i="2"/>
  <c r="XAA166" i="2"/>
  <c r="XAA169" i="2"/>
  <c r="XAA5" i="2"/>
  <c r="XAA9" i="2"/>
  <c r="XAA13" i="2"/>
  <c r="XAA17" i="2"/>
  <c r="XAA21" i="2"/>
  <c r="XAA28" i="2"/>
  <c r="XAA31" i="2"/>
  <c r="XAA34" i="2"/>
  <c r="XAA37" i="2"/>
  <c r="XAA42" i="2"/>
  <c r="XAA45" i="2"/>
  <c r="XAA48" i="2"/>
  <c r="XAA51" i="2"/>
  <c r="XAA58" i="2"/>
  <c r="XAA61" i="2"/>
  <c r="XAA64" i="2"/>
  <c r="XAA67" i="2"/>
  <c r="XAA74" i="2"/>
  <c r="XAA77" i="2"/>
  <c r="XAA80" i="2"/>
  <c r="XAA83" i="2"/>
  <c r="XAA90" i="2"/>
  <c r="XAA93" i="2"/>
  <c r="XAA96" i="2"/>
  <c r="XAA99" i="2"/>
  <c r="XAA106" i="2"/>
  <c r="XAA109" i="2"/>
  <c r="XAA112" i="2"/>
  <c r="XAA115" i="2"/>
  <c r="XAA122" i="2"/>
  <c r="XAA125" i="2"/>
  <c r="XAA128" i="2"/>
  <c r="XAA131" i="2"/>
  <c r="XAA138" i="2"/>
  <c r="XAA141" i="2"/>
  <c r="XAA144" i="2"/>
  <c r="XAA147" i="2"/>
  <c r="XAA154" i="2"/>
  <c r="XAA157" i="2"/>
  <c r="XAA160" i="2"/>
  <c r="XAA163" i="2"/>
  <c r="XAA170" i="2"/>
  <c r="XAA172" i="2"/>
  <c r="XAA174" i="2"/>
  <c r="XAA176" i="2"/>
  <c r="XAA178" i="2"/>
  <c r="XAA180" i="2"/>
  <c r="XAA182" i="2"/>
  <c r="XAA184" i="2"/>
  <c r="XAA186" i="2"/>
  <c r="XAA188" i="2"/>
  <c r="XAA190" i="2"/>
  <c r="XAA192" i="2"/>
  <c r="XAA194" i="2"/>
  <c r="XAA196" i="2"/>
  <c r="XAA198" i="2"/>
  <c r="XAA200" i="2"/>
  <c r="XAA202" i="2"/>
  <c r="XAA204" i="2"/>
  <c r="XAA206" i="2"/>
  <c r="XAA208" i="2"/>
  <c r="XAA210" i="2"/>
  <c r="XAA212" i="2"/>
  <c r="XAA214" i="2"/>
  <c r="XAA216" i="2"/>
  <c r="XAA218" i="2"/>
  <c r="XAA220" i="2"/>
  <c r="XAA222" i="2"/>
  <c r="XAA224" i="2"/>
  <c r="XAA226" i="2"/>
  <c r="XAA228" i="2"/>
  <c r="XAA230" i="2"/>
  <c r="XAA232" i="2"/>
  <c r="XAA234" i="2"/>
  <c r="XAA236" i="2"/>
  <c r="XAA6" i="2"/>
  <c r="XAA10" i="2"/>
  <c r="XAA14" i="2"/>
  <c r="XAA18" i="2"/>
  <c r="XAA22" i="2"/>
  <c r="XAA25" i="2"/>
  <c r="XAA32" i="2"/>
  <c r="XAA35" i="2"/>
  <c r="XAA38" i="2"/>
  <c r="XAA41" i="2"/>
  <c r="XAA46" i="2"/>
  <c r="XAA49" i="2"/>
  <c r="XAA52" i="2"/>
  <c r="XAA55" i="2"/>
  <c r="XAA62" i="2"/>
  <c r="XAA65" i="2"/>
  <c r="XAA68" i="2"/>
  <c r="XAA71" i="2"/>
  <c r="XAA78" i="2"/>
  <c r="XAA81" i="2"/>
  <c r="XAA84" i="2"/>
  <c r="XAA87" i="2"/>
  <c r="XAA94" i="2"/>
  <c r="XAA97" i="2"/>
  <c r="XAA100" i="2"/>
  <c r="XAA103" i="2"/>
  <c r="XAA110" i="2"/>
  <c r="XAA113" i="2"/>
  <c r="XAA116" i="2"/>
  <c r="XAA119" i="2"/>
  <c r="XAA126" i="2"/>
  <c r="XAA129" i="2"/>
  <c r="XAA132" i="2"/>
  <c r="XAA135" i="2"/>
  <c r="XAA142" i="2"/>
  <c r="XAA145" i="2"/>
  <c r="XAA148" i="2"/>
  <c r="XAA151" i="2"/>
  <c r="XAA158" i="2"/>
  <c r="XAA161" i="2"/>
  <c r="XAA164" i="2"/>
  <c r="XAA167" i="2"/>
  <c r="XAA254" i="2"/>
  <c r="XAB254" i="2" s="1"/>
  <c r="C254" i="2" s="1"/>
  <c r="XAA252" i="2"/>
  <c r="XAB252" i="2" s="1"/>
  <c r="C252" i="2" s="1"/>
  <c r="XAA250" i="2"/>
  <c r="XAB250" i="2" s="1"/>
  <c r="C250" i="2" s="1"/>
  <c r="XAA248" i="2"/>
  <c r="XAB248" i="2" s="1"/>
  <c r="C248" i="2" s="1"/>
  <c r="XAA246" i="2"/>
  <c r="XAB246" i="2" s="1"/>
  <c r="C246" i="2" s="1"/>
  <c r="XAA244" i="2"/>
  <c r="XAB244" i="2" s="1"/>
  <c r="C244" i="2" s="1"/>
  <c r="XAA242" i="2"/>
  <c r="XAA240" i="2"/>
  <c r="XAA238" i="2"/>
  <c r="XAA2" i="2"/>
  <c r="XAA253" i="2"/>
  <c r="XAB253" i="2" s="1"/>
  <c r="C253" i="2" s="1"/>
  <c r="XAA251" i="2"/>
  <c r="XAB251" i="2" s="1"/>
  <c r="C251" i="2" s="1"/>
  <c r="XAA249" i="2"/>
  <c r="XAB249" i="2" s="1"/>
  <c r="C249" i="2" s="1"/>
  <c r="XAA247" i="2"/>
  <c r="XAB247" i="2" s="1"/>
  <c r="C247" i="2" s="1"/>
  <c r="XAA245" i="2"/>
  <c r="XAB245" i="2" s="1"/>
  <c r="C245" i="2" s="1"/>
  <c r="XAA243" i="2"/>
  <c r="XAB243" i="2" s="1"/>
  <c r="C243" i="2" s="1"/>
  <c r="XAA241" i="2"/>
  <c r="XAA239" i="2"/>
  <c r="XAA237" i="2"/>
  <c r="XAB242" i="2" l="1"/>
  <c r="C242" i="2" s="1"/>
  <c r="XAB241" i="2"/>
  <c r="C241" i="2" s="1"/>
  <c r="XAB237" i="2"/>
  <c r="C237" i="2" s="1"/>
  <c r="XAB239" i="2"/>
  <c r="C239" i="2" s="1"/>
  <c r="XAB230" i="2"/>
  <c r="C230" i="2" s="1"/>
  <c r="XAB231" i="2"/>
  <c r="C231" i="2" s="1"/>
  <c r="XAB236" i="2"/>
  <c r="C236" i="2" s="1"/>
  <c r="XAB229" i="2"/>
  <c r="C229" i="2" s="1"/>
  <c r="XAB238" i="2"/>
  <c r="C238" i="2" s="1"/>
  <c r="XAB234" i="2"/>
  <c r="C234" i="2" s="1"/>
  <c r="XAB235" i="2"/>
  <c r="C235" i="2" s="1"/>
  <c r="XAB240" i="2"/>
  <c r="C240" i="2" s="1"/>
  <c r="XAB232" i="2"/>
  <c r="C232" i="2" s="1"/>
  <c r="XAB233" i="2"/>
  <c r="C233" i="2" s="1"/>
  <c r="XAB148" i="2"/>
  <c r="C148" i="2" s="1"/>
  <c r="XAB116" i="2"/>
  <c r="C116" i="2" s="1"/>
  <c r="XAB214" i="2"/>
  <c r="C214" i="2" s="1"/>
  <c r="XAB198" i="2"/>
  <c r="C198" i="2" s="1"/>
  <c r="XAB182" i="2"/>
  <c r="C182" i="2" s="1"/>
  <c r="XAB160" i="2"/>
  <c r="C160" i="2" s="1"/>
  <c r="XAB153" i="2"/>
  <c r="C153" i="2" s="1"/>
  <c r="XAB121" i="2"/>
  <c r="C121" i="2" s="1"/>
  <c r="XAB223" i="2"/>
  <c r="C223" i="2" s="1"/>
  <c r="XAB207" i="2"/>
  <c r="C207" i="2" s="1"/>
  <c r="XAB191" i="2"/>
  <c r="C191" i="2" s="1"/>
  <c r="XAB175" i="2"/>
  <c r="C175" i="2" s="1"/>
  <c r="XAB101" i="2"/>
  <c r="C101" i="2" s="1"/>
  <c r="XAB204" i="2"/>
  <c r="C204" i="2" s="1"/>
  <c r="XAB180" i="2"/>
  <c r="C180" i="2" s="1"/>
  <c r="XAB102" i="2"/>
  <c r="C102" i="2" s="1"/>
  <c r="XAB213" i="2"/>
  <c r="C213" i="2" s="1"/>
  <c r="XAB181" i="2"/>
  <c r="C181" i="2" s="1"/>
  <c r="XAB142" i="2"/>
  <c r="C142" i="2" s="1"/>
  <c r="XAB110" i="2"/>
  <c r="C110" i="2" s="1"/>
  <c r="XAB226" i="2"/>
  <c r="C226" i="2" s="1"/>
  <c r="XAB218" i="2"/>
  <c r="C218" i="2" s="1"/>
  <c r="XAB210" i="2"/>
  <c r="C210" i="2" s="1"/>
  <c r="XAB202" i="2"/>
  <c r="C202" i="2" s="1"/>
  <c r="XAB194" i="2"/>
  <c r="C194" i="2" s="1"/>
  <c r="XAB186" i="2"/>
  <c r="C186" i="2" s="1"/>
  <c r="XAB178" i="2"/>
  <c r="C178" i="2" s="1"/>
  <c r="XAB170" i="2"/>
  <c r="C170" i="2" s="1"/>
  <c r="XAB154" i="2"/>
  <c r="C154" i="2" s="1"/>
  <c r="XAB143" i="2"/>
  <c r="C143" i="2" s="1"/>
  <c r="XAB127" i="2"/>
  <c r="C127" i="2" s="1"/>
  <c r="XAB95" i="2"/>
  <c r="C95" i="2" s="1"/>
  <c r="XAB227" i="2"/>
  <c r="C227" i="2" s="1"/>
  <c r="XAB219" i="2"/>
  <c r="C219" i="2" s="1"/>
  <c r="XAB211" i="2"/>
  <c r="C211" i="2" s="1"/>
  <c r="XAB203" i="2"/>
  <c r="C203" i="2" s="1"/>
  <c r="XAB187" i="2"/>
  <c r="C187" i="2" s="1"/>
  <c r="XAB179" i="2"/>
  <c r="C179" i="2" s="1"/>
  <c r="XAB155" i="2"/>
  <c r="C155" i="2" s="1"/>
  <c r="XAB123" i="2"/>
  <c r="C123" i="2" s="1"/>
  <c r="XAB132" i="2"/>
  <c r="C132" i="2" s="1"/>
  <c r="XAB222" i="2"/>
  <c r="C222" i="2" s="1"/>
  <c r="XAB206" i="2"/>
  <c r="C206" i="2" s="1"/>
  <c r="XAB190" i="2"/>
  <c r="C190" i="2" s="1"/>
  <c r="XAB144" i="2"/>
  <c r="C144" i="2" s="1"/>
  <c r="XAB96" i="2"/>
  <c r="C96" i="2" s="1"/>
  <c r="XAB169" i="2"/>
  <c r="C169" i="2" s="1"/>
  <c r="XAB137" i="2"/>
  <c r="C137" i="2" s="1"/>
  <c r="XAB105" i="2"/>
  <c r="C105" i="2" s="1"/>
  <c r="XAB215" i="2"/>
  <c r="C215" i="2" s="1"/>
  <c r="XAB199" i="2"/>
  <c r="C199" i="2" s="1"/>
  <c r="XAB183" i="2"/>
  <c r="C183" i="2" s="1"/>
  <c r="XAB165" i="2"/>
  <c r="C165" i="2" s="1"/>
  <c r="XAB133" i="2"/>
  <c r="C133" i="2" s="1"/>
  <c r="XAB145" i="2"/>
  <c r="C145" i="2" s="1"/>
  <c r="XAB97" i="2"/>
  <c r="C97" i="2" s="1"/>
  <c r="XAB228" i="2"/>
  <c r="C228" i="2" s="1"/>
  <c r="XAB212" i="2"/>
  <c r="C212" i="2" s="1"/>
  <c r="XAB196" i="2"/>
  <c r="C196" i="2" s="1"/>
  <c r="XAB188" i="2"/>
  <c r="C188" i="2" s="1"/>
  <c r="XAB157" i="2"/>
  <c r="C157" i="2" s="1"/>
  <c r="XAB141" i="2"/>
  <c r="C141" i="2" s="1"/>
  <c r="XAB125" i="2"/>
  <c r="C125" i="2" s="1"/>
  <c r="XAB109" i="2"/>
  <c r="C109" i="2" s="1"/>
  <c r="XAB93" i="2"/>
  <c r="C93" i="2" s="1"/>
  <c r="XAB134" i="2"/>
  <c r="C134" i="2" s="1"/>
  <c r="XAB118" i="2"/>
  <c r="C118" i="2" s="1"/>
  <c r="XAB221" i="2"/>
  <c r="C221" i="2" s="1"/>
  <c r="XAB205" i="2"/>
  <c r="C205" i="2" s="1"/>
  <c r="XAB197" i="2"/>
  <c r="C197" i="2" s="1"/>
  <c r="XAB189" i="2"/>
  <c r="C189" i="2" s="1"/>
  <c r="XAB173" i="2"/>
  <c r="C173" i="2" s="1"/>
  <c r="XAB146" i="2"/>
  <c r="C146" i="2" s="1"/>
  <c r="XAB114" i="2"/>
  <c r="C114" i="2" s="1"/>
  <c r="XAB98" i="2"/>
  <c r="C98" i="2" s="1"/>
  <c r="XAB158" i="2"/>
  <c r="C158" i="2" s="1"/>
  <c r="XAB126" i="2"/>
  <c r="C126" i="2" s="1"/>
  <c r="XAB151" i="2"/>
  <c r="C151" i="2" s="1"/>
  <c r="XAB119" i="2"/>
  <c r="C119" i="2" s="1"/>
  <c r="XAB103" i="2"/>
  <c r="C103" i="2" s="1"/>
  <c r="XAB224" i="2"/>
  <c r="C224" i="2" s="1"/>
  <c r="XAB216" i="2"/>
  <c r="C216" i="2" s="1"/>
  <c r="XAB208" i="2"/>
  <c r="C208" i="2" s="1"/>
  <c r="XAB200" i="2"/>
  <c r="C200" i="2" s="1"/>
  <c r="XAB192" i="2"/>
  <c r="C192" i="2" s="1"/>
  <c r="XAB184" i="2"/>
  <c r="C184" i="2" s="1"/>
  <c r="XAB176" i="2"/>
  <c r="C176" i="2" s="1"/>
  <c r="XAB163" i="2"/>
  <c r="C163" i="2" s="1"/>
  <c r="XAB131" i="2"/>
  <c r="C131" i="2" s="1"/>
  <c r="XAB115" i="2"/>
  <c r="C115" i="2" s="1"/>
  <c r="XAB99" i="2"/>
  <c r="C99" i="2" s="1"/>
  <c r="XAB124" i="2"/>
  <c r="C124" i="2" s="1"/>
  <c r="XAB92" i="2"/>
  <c r="C92" i="2" s="1"/>
  <c r="XAB225" i="2"/>
  <c r="C225" i="2" s="1"/>
  <c r="XAB217" i="2"/>
  <c r="C217" i="2" s="1"/>
  <c r="XAB209" i="2"/>
  <c r="C209" i="2" s="1"/>
  <c r="XAB201" i="2"/>
  <c r="C201" i="2" s="1"/>
  <c r="XAB185" i="2"/>
  <c r="C185" i="2" s="1"/>
  <c r="XAB177" i="2"/>
  <c r="C177" i="2" s="1"/>
  <c r="XAB168" i="2"/>
  <c r="C168" i="2" s="1"/>
  <c r="XAB152" i="2"/>
  <c r="C152" i="2" s="1"/>
  <c r="XAB104" i="2"/>
  <c r="C104" i="2" s="1"/>
  <c r="XAB220" i="2"/>
  <c r="C220" i="2" s="1"/>
  <c r="XAB162" i="2"/>
  <c r="C162" i="2" s="1"/>
  <c r="XAB167" i="2"/>
  <c r="C167" i="2" s="1"/>
  <c r="XAB135" i="2"/>
  <c r="C135" i="2" s="1"/>
  <c r="XAB164" i="2"/>
  <c r="C164" i="2" s="1"/>
  <c r="XAB100" i="2"/>
  <c r="C100" i="2" s="1"/>
  <c r="XAB174" i="2"/>
  <c r="C174" i="2" s="1"/>
  <c r="XAB128" i="2"/>
  <c r="C128" i="2" s="1"/>
  <c r="XAB112" i="2"/>
  <c r="C112" i="2" s="1"/>
  <c r="XAB149" i="2"/>
  <c r="C149" i="2" s="1"/>
  <c r="XAB117" i="2"/>
  <c r="C117" i="2" s="1"/>
  <c r="XAB130" i="2"/>
  <c r="C130" i="2" s="1"/>
  <c r="XAB166" i="2"/>
  <c r="C166" i="2" s="1"/>
  <c r="XAB94" i="2"/>
  <c r="C94" i="2" s="1"/>
  <c r="XAB138" i="2"/>
  <c r="C138" i="2" s="1"/>
  <c r="XAB122" i="2"/>
  <c r="C122" i="2" s="1"/>
  <c r="XAB106" i="2"/>
  <c r="C106" i="2" s="1"/>
  <c r="XAB159" i="2"/>
  <c r="C159" i="2" s="1"/>
  <c r="XAB111" i="2"/>
  <c r="C111" i="2" s="1"/>
  <c r="XAB195" i="2"/>
  <c r="C195" i="2" s="1"/>
  <c r="XAB171" i="2"/>
  <c r="C171" i="2" s="1"/>
  <c r="XAB139" i="2"/>
  <c r="C139" i="2" s="1"/>
  <c r="XAB107" i="2"/>
  <c r="C107" i="2" s="1"/>
  <c r="XAB161" i="2"/>
  <c r="C161" i="2" s="1"/>
  <c r="XAB129" i="2"/>
  <c r="C129" i="2" s="1"/>
  <c r="XAB113" i="2"/>
  <c r="C113" i="2" s="1"/>
  <c r="XAB172" i="2"/>
  <c r="C172" i="2" s="1"/>
  <c r="XAB150" i="2"/>
  <c r="C150" i="2" s="1"/>
  <c r="XAB147" i="2"/>
  <c r="C147" i="2" s="1"/>
  <c r="XAB156" i="2"/>
  <c r="C156" i="2" s="1"/>
  <c r="XAB140" i="2"/>
  <c r="C140" i="2" s="1"/>
  <c r="XAB108" i="2"/>
  <c r="C108" i="2" s="1"/>
  <c r="XAB193" i="2"/>
  <c r="C193" i="2" s="1"/>
  <c r="XAB136" i="2"/>
  <c r="C136" i="2" s="1"/>
  <c r="XAB120" i="2"/>
  <c r="C120" i="2" s="1"/>
  <c r="XAB64" i="2"/>
  <c r="C64" i="2" s="1"/>
  <c r="XAB70" i="2"/>
  <c r="C70" i="2" s="1"/>
  <c r="XAB66" i="2"/>
  <c r="C66" i="2" s="1"/>
  <c r="XAB63" i="2"/>
  <c r="C63" i="2" s="1"/>
  <c r="XAB68" i="2"/>
  <c r="C68" i="2" s="1"/>
  <c r="XAB69" i="2"/>
  <c r="C69" i="2" s="1"/>
  <c r="XAB65" i="2"/>
  <c r="C65" i="2" s="1"/>
  <c r="XAB62" i="2"/>
  <c r="C62" i="2" s="1"/>
  <c r="XAB71" i="2"/>
  <c r="C71" i="2" s="1"/>
  <c r="XAB67" i="2"/>
  <c r="C67" i="2" s="1"/>
  <c r="XAB38" i="2"/>
  <c r="C38" i="2" s="1"/>
  <c r="XAB35" i="2"/>
  <c r="C35" i="2" s="1"/>
  <c r="XAB32" i="2"/>
  <c r="C32" i="2" s="1"/>
  <c r="XAB28" i="2"/>
  <c r="C28" i="2" s="1"/>
  <c r="XAB33" i="2"/>
  <c r="C33" i="2" s="1"/>
  <c r="XAB36" i="2"/>
  <c r="C36" i="2" s="1"/>
  <c r="XAB41" i="2"/>
  <c r="C41" i="2" s="1"/>
  <c r="XAB25" i="2"/>
  <c r="C25" i="2" s="1"/>
  <c r="XAB37" i="2"/>
  <c r="C37" i="2" s="1"/>
  <c r="XAB30" i="2"/>
  <c r="C30" i="2" s="1"/>
  <c r="XAB29" i="2"/>
  <c r="C29" i="2" s="1"/>
  <c r="XAB22" i="2"/>
  <c r="C22" i="2" s="1"/>
  <c r="XAB34" i="2"/>
  <c r="C34" i="2" s="1"/>
  <c r="XAB27" i="2"/>
  <c r="C27" i="2" s="1"/>
  <c r="XAB26" i="2"/>
  <c r="C26" i="2" s="1"/>
  <c r="XAB31" i="2"/>
  <c r="C31" i="2" s="1"/>
  <c r="XAB40" i="2"/>
  <c r="C40" i="2" s="1"/>
  <c r="XAB24" i="2"/>
  <c r="C24" i="2" s="1"/>
  <c r="XAB39" i="2"/>
  <c r="C39" i="2" s="1"/>
  <c r="XAB23" i="2"/>
  <c r="C23" i="2" s="1"/>
  <c r="XAB46" i="2"/>
  <c r="C46" i="2" s="1"/>
  <c r="XAB55" i="2"/>
  <c r="C55" i="2" s="1"/>
  <c r="XAB51" i="2"/>
  <c r="C51" i="2" s="1"/>
  <c r="XAB60" i="2"/>
  <c r="C60" i="2" s="1"/>
  <c r="XAB44" i="2"/>
  <c r="C44" i="2" s="1"/>
  <c r="XAB59" i="2"/>
  <c r="C59" i="2" s="1"/>
  <c r="XAB43" i="2"/>
  <c r="C43" i="2" s="1"/>
  <c r="XAB58" i="2"/>
  <c r="C58" i="2" s="1"/>
  <c r="XAB52" i="2"/>
  <c r="C52" i="2" s="1"/>
  <c r="XAB48" i="2"/>
  <c r="C48" i="2" s="1"/>
  <c r="XAB57" i="2"/>
  <c r="C57" i="2" s="1"/>
  <c r="XAB56" i="2"/>
  <c r="C56" i="2" s="1"/>
  <c r="XAB42" i="2"/>
  <c r="C42" i="2" s="1"/>
  <c r="XAB47" i="2"/>
  <c r="C47" i="2" s="1"/>
  <c r="XAB50" i="2"/>
  <c r="C50" i="2" s="1"/>
  <c r="XAB49" i="2"/>
  <c r="C49" i="2" s="1"/>
  <c r="XAB61" i="2"/>
  <c r="C61" i="2" s="1"/>
  <c r="XAB45" i="2"/>
  <c r="C45" i="2" s="1"/>
  <c r="XAB54" i="2"/>
  <c r="C54" i="2" s="1"/>
  <c r="XAB53" i="2"/>
  <c r="C53" i="2" s="1"/>
  <c r="XAB84" i="2"/>
  <c r="C84" i="2" s="1"/>
  <c r="XAB82" i="2"/>
  <c r="C82" i="2" s="1"/>
  <c r="XAB78" i="2"/>
  <c r="C78" i="2" s="1"/>
  <c r="XAB90" i="2"/>
  <c r="C90" i="2" s="1"/>
  <c r="XAB74" i="2"/>
  <c r="C74" i="2" s="1"/>
  <c r="XAB79" i="2"/>
  <c r="C79" i="2" s="1"/>
  <c r="XAB87" i="2"/>
  <c r="C87" i="2" s="1"/>
  <c r="XAB83" i="2"/>
  <c r="C83" i="2" s="1"/>
  <c r="XAB76" i="2"/>
  <c r="C76" i="2" s="1"/>
  <c r="XAB91" i="2"/>
  <c r="C91" i="2" s="1"/>
  <c r="XAB75" i="2"/>
  <c r="C75" i="2" s="1"/>
  <c r="XAB72" i="2"/>
  <c r="C72" i="2" s="1"/>
  <c r="XAB80" i="2"/>
  <c r="C80" i="2" s="1"/>
  <c r="XAB89" i="2"/>
  <c r="C89" i="2" s="1"/>
  <c r="XAB73" i="2"/>
  <c r="C73" i="2" s="1"/>
  <c r="XAB88" i="2"/>
  <c r="C88" i="2" s="1"/>
  <c r="XAB81" i="2"/>
  <c r="C81" i="2" s="1"/>
  <c r="XAB77" i="2"/>
  <c r="C77" i="2" s="1"/>
  <c r="XAB86" i="2"/>
  <c r="C86" i="2" s="1"/>
  <c r="XAB85" i="2"/>
  <c r="C85" i="2" s="1"/>
  <c r="WZS17" i="2"/>
  <c r="WZT17" i="2" s="1"/>
  <c r="H9" i="1" s="1"/>
  <c r="XAB21" i="2"/>
  <c r="C21" i="2" s="1"/>
  <c r="XAB13" i="2"/>
  <c r="C13" i="2" s="1"/>
  <c r="XAB15" i="2"/>
  <c r="C15" i="2" s="1"/>
  <c r="XAB11" i="2"/>
  <c r="C11" i="2" s="1"/>
  <c r="XAB20" i="2"/>
  <c r="C20" i="2" s="1"/>
  <c r="XAB7" i="2"/>
  <c r="C7" i="2" s="1"/>
  <c r="XAB6" i="2"/>
  <c r="C6" i="2" s="1"/>
  <c r="XAB10" i="2"/>
  <c r="C10" i="2" s="1"/>
  <c r="XAB17" i="2"/>
  <c r="C17" i="2" s="1"/>
  <c r="XAB12" i="2"/>
  <c r="C12" i="2" s="1"/>
  <c r="XAB5" i="2"/>
  <c r="C5" i="2" s="1"/>
  <c r="XAB2" i="2"/>
  <c r="C2" i="2" s="1"/>
  <c r="XAB18" i="2"/>
  <c r="C18" i="2" s="1"/>
  <c r="XAB8" i="2"/>
  <c r="C8" i="2" s="1"/>
  <c r="XAB16" i="2"/>
  <c r="C16" i="2" s="1"/>
  <c r="XAB14" i="2"/>
  <c r="C14" i="2" s="1"/>
  <c r="XAB9" i="2"/>
  <c r="C9" i="2" s="1"/>
  <c r="XAB4" i="2"/>
  <c r="C4" i="2" s="1"/>
  <c r="XAB19" i="2"/>
  <c r="C19" i="2" s="1"/>
  <c r="XAB3" i="2"/>
  <c r="C3" i="2" s="1"/>
  <c r="WZR7" i="2" l="1"/>
  <c r="B11" i="1" s="1"/>
  <c r="WZR9" i="2"/>
  <c r="B25" i="1" s="1"/>
  <c r="WZR8" i="2"/>
  <c r="B18" i="1" s="1"/>
  <c r="WZU7" i="2"/>
  <c r="O11" i="1" s="1"/>
  <c r="WZT7" i="2"/>
  <c r="C11" i="1" s="1"/>
  <c r="WZT9" i="2"/>
  <c r="C25" i="1" s="1"/>
  <c r="WZU9" i="2"/>
  <c r="O25" i="1" s="1"/>
  <c r="WZT8" i="2"/>
  <c r="C18" i="1" s="1"/>
  <c r="WZU8" i="2"/>
  <c r="O18" i="1" s="1"/>
</calcChain>
</file>

<file path=xl/sharedStrings.xml><?xml version="1.0" encoding="utf-8"?>
<sst xmlns="http://schemas.openxmlformats.org/spreadsheetml/2006/main" count="284" uniqueCount="233">
  <si>
    <t>QUESTÃO</t>
  </si>
  <si>
    <t>UNIDADE</t>
  </si>
  <si>
    <t>RESPOSTA</t>
  </si>
  <si>
    <t>.</t>
  </si>
  <si>
    <t>CODE</t>
  </si>
  <si>
    <t>Buscar com acentos?</t>
  </si>
  <si>
    <t>Frase especifica? (S/N)</t>
  </si>
  <si>
    <t>N</t>
  </si>
  <si>
    <t>Code</t>
  </si>
  <si>
    <t>Query</t>
  </si>
  <si>
    <t>#</t>
  </si>
  <si>
    <t>Question</t>
  </si>
  <si>
    <t>Answer</t>
  </si>
  <si>
    <t>Locate</t>
  </si>
  <si>
    <t xml:space="preserve"> </t>
  </si>
  <si>
    <t>UND</t>
  </si>
  <si>
    <t>Localizar Frase especifica? (S/N)</t>
  </si>
  <si>
    <t>Normal</t>
  </si>
  <si>
    <t>Foram Localizadas Três Questões! 🙃</t>
  </si>
  <si>
    <t>More</t>
  </si>
  <si>
    <t xml:space="preserve">😐 Seja mais específico!	</t>
  </si>
  <si>
    <t>Lost</t>
  </si>
  <si>
    <t>MSG</t>
  </si>
  <si>
    <t>🥴 Sem Questões Localizadas.</t>
  </si>
  <si>
    <t>Foi Localizada uma Questão! 😀</t>
  </si>
  <si>
    <t>Foram Localizadas Duas Questões! 😆</t>
  </si>
  <si>
    <t>Os avanços realizados pela inteligência artificial têm gerado mudanças na forma como os serviços ou produtos serão oferecidos aos clientes. Cada vez mais, veremos soluç</t>
  </si>
  <si>
    <t>S</t>
  </si>
  <si>
    <t>I e III.</t>
  </si>
  <si>
    <t>I e II.</t>
  </si>
  <si>
    <t>V, F, V, F.</t>
  </si>
  <si>
    <t>As asserções I e II são proposições verdadeiras, e a II é uma justificativa correta da I.</t>
  </si>
  <si>
    <t>4, 2, 1, 3.</t>
  </si>
  <si>
    <t>II e IV.</t>
  </si>
  <si>
    <t>I e IV.</t>
  </si>
  <si>
    <t>V, F, F, V.</t>
  </si>
  <si>
    <t>A asserção I é uma proposição verdadeira, e a II é uma proposição falsa.</t>
  </si>
  <si>
    <t>A asserção I é uma proposição falsa, e a II é uma proposição verdadeira.</t>
  </si>
  <si>
    <t>“A Tecnologia da Informação ou TI, é o conjunto de atividades e soluções envolvendo hardware, software, banco de dados, e redes que atuam para facilitar o acesso, análise e gerenciamento de informações. Simplificando, a TI foi criada para auxiliar o ser humano a lidar com informações.”Fonte: SILVA, Adam. O que é TI? 2015. Disponível em &lt;https://www.adamsilva.com.br/tecnologia/o-que-e-ti&gt;. Acesso em: 04 de março 2019.Como objetivo central, a tecnologia da informação sempre visará a produção, armazenamento, acesso, transmissão, segurança e uso das informações. Considerando essas informações e o conteúdo estudado, podemos separar o uso de tecnologia da informação em 2 níveis:</t>
  </si>
  <si>
    <t>Estratégico e Operacional.</t>
  </si>
  <si>
    <t>“Data warehouse é um depósito de dados digitais que serve para armazenar informações detalhadas relativamente a uma empresa, criando e organizando relatórios através de históricos que são depois usados pela empresa para ajudar a tomar decisões importantes com base nos fatos apresentados.”Fonte: SIGNIFICADOS, O que é data warehouse. Disponível em:&lt; https://www.significados.com.br/data-warehouse/&gt;. Acesso em: 24. fev. 2019.Considerando o fluxo de dados que podem ser depositados em um Data warehouse, podemos afirmar que:</t>
  </si>
  <si>
    <t>todos os dados podem ser depositados em uma data warehouse</t>
  </si>
  <si>
    <t>“O smartphone é hoje o principal gadget do planeta. Com a capacidade de ser desde um tocador de música até uma ferramenta de trabalho, os celulares se tornaram parte vital da vida de muitos, e no Brasil não é exclusividade. [...] o smartphone está inserido na vida do brasileiro como nunca.”Fonte:ISTO É DINHEIRO. Pesquisa revela hábitos dos brasileiros em relação ao celular. 2018. Disponível em: &lt;https://www.istoedinheiro.com.br/pesquisa-revela-habitos-dos-brasileiros-em-relacao-ao-celular/&gt;. Acesso em: 30 set. 2020.Considerando essas informações e o conteúdo estudado sobre o cenário atual da computação, está correto afirmar que:</t>
  </si>
  <si>
    <t>apesar de aberto poucas vezes, os aplicativos Waze, Youtube e Netflix possuem como característica o acesso prolongado, ou seja, quando abertos, ficam mais tempo em uso do que os outros.</t>
  </si>
  <si>
    <t>A Apple Computer foi a empresa que desenvolveu computadores de grande repercussão na década de 80. Ela foi fundada por Steve Jobs e Steve Vosniak. A ideia de integrar tela e teclado as máquinas tornou a Apple mundialmente conhecida. A Apple 2 foi a máquina de maior repercussão, ela contava com 4KB de memória RAM e possuía entradas de fita cassete. Sua memória ROM vinha com um interpretador BASIC.Após o lançamento da Apple 2, existiu um projeto tão importante quanto seu antecessor que acoplou o mouse nas máquinas Apple. Considerando essas informações e o conteúdo estudado, pode-se afirmar que o nome desse computador é:</t>
  </si>
  <si>
    <t>Apple Lisa.</t>
  </si>
  <si>
    <t>A Cloud Computing já é uma realidade dentro de várias empresas, através do atendimento à infraestrutura completa da organização, inclusão de sistemas operativos, conexões com a internet, plataformas de serviços e programas necessários; ou por meio da abordagem de ambientes virtuais com capacidade de atender às demandas do negócio pela internet. Ainda existem serviços de software que fornecem locais para que os programas principais possam ser armazenados e compartilhados de forma simultânea e assíncrona.Considerando essas informações e o conteúdo estudado, analise as afirmativas a seguir e assinale V para a(s) verdadeira(s) e F para a(s) falsa(s). I. ( ) Podemos afirmar que, quando falamos sobre as plataformas que são armazenadas em datacenters e acessadas através de cloud, estamos falando sobre o modelo PaaS.II. ( ) O modelo IaaS oferta serviços completos de infraestrutura às empresas, o que abrange todos os aspectos de tecnologia da informação que a empresa necessita.III. ( ) Quando falamos em SaaS ou Softwares sobre serviço, estamos falando de programas específicos que ficam à disposição de empresas, sua base de dados fica em um servidor na nuvem.IV. ( ) Os drivers gratuitos, ofertados pelos servidores de e-mail, são serviços de nuvem, com espaço de armazenamento limitado, sem possibilidade de extensão.Agora, assinale a alternativa que apresenta a sequência correta:</t>
  </si>
  <si>
    <t>V, V, V, F.</t>
  </si>
  <si>
    <t>A história da telefonia móvel se encontrou com a história dos computadores uma vez que a tecnologia móvel foi amplamente utilizada e aperfeiçoada ao logo dos anos de acordo com os recursos tecnológicos da época. O primeiro celular pesava mais de 40 quilos e poderia ser instalado em um porta malas de um carro. Considerando essas informações e o conteúdo estudado, pode-se afirmar que o nome desse aparelho é:</t>
  </si>
  <si>
    <t>Ericsson MTA.</t>
  </si>
  <si>
    <t>A ideia de transformar a internet em um grande mercado de compra, vendas, investimentos e negócios em geral surgiu logo no início da popularização dos computadores pessoais. Várias empresas foram pioneiras neste assunto, como a Amazon, por exemplo, que foi a primeira empresa a disponibilizar plataformas de vendas pela internet. Considerando os conteúdos estudados, pode-se afirmar que o conceito de utilizar ferramentas de comunicação para fechar negócios é uma definição de:</t>
  </si>
  <si>
    <t>E-Business.</t>
  </si>
  <si>
    <t>A internet está disponível tanto no ambiente corporativo como no ambiente pessoal. Ela é utilizada para negócios, estudos, lazer, entre outras atividades. Cada equipamento eletrônico precisa de um equipamento interno ou externo específico para conectar o dispositivo à internet. Este equipamento recebe um número de host de um IP e pode navegar de acordo com os padrões estabelecidos daquela rede. Tendo em vista essa informação e o conteúdo estudado, pode-se afirmar que o trecho acima se refere à/ao:</t>
  </si>
  <si>
    <t>Placa de rede.</t>
  </si>
  <si>
    <t>A internet, ou rede mundial de computadores, é a maior estrutura de transmissão de dados do mundo. É composta por um conjunto de redes interligadas entre si e se comunica por meio de protocolos e serviços. Atualmente, podemos acessar a internet em praticamente qualquer dispositivo eletrônico, porém, seu início foi bem mais modesto. Tudo começou com a agência ARPA, que, durante a Guerra Fria, conduziu um projeto para compartilhamento de informações.Considerando isso e o conteúdo estudado, é possível afirmar que o nome do projeto que deu origem à internet era:</t>
  </si>
  <si>
    <t>ARPANET.</t>
  </si>
  <si>
    <t>A intranet é uma rede interna de uma organização que é composta a partir da necessidade de partilhar informações em um ambiente corporativo. Essa rede tem como característica a maneira que disponibiliza arquivos a usuários que tenham autorização de segurança para acessá-los. A intranet pode ser acessada internamente ou externamente através de pontos de acesso disponibilizados em geral pela empresa em seus portais. Considerando o conteúdo estudado e as definições de intranet, podemos afirmar que a Intranet:</t>
  </si>
  <si>
    <t>é um conjunto de tecnologias que permite partilhar informações.</t>
  </si>
  <si>
    <t>A Microsoft Corporation é uma empresa que nasceu do sonho de 2 amigos que se conheceram no colégio. Bill Gates e Paul Allen, a princípio fundaram a empresa com intuito de fornecer um software para o ALTAIR 8800 da gigante IBM. Naquele momento, a IBM procurava programas para seus computadores e Bill Gates garantiu a eles que tinha um sistema operacional que poderia tornar os computadores da IBM melhores e mais rápidos. Naquele momento, a Microsoft não possuía nenhum programa com essas características, porém Paul Allen conhecia uma empresa que possuía um sistema operacional que atenderia à necessidade. Foi então, em 1977, que a Microsoft adquiriu o sistema operacional que colocou os computadores de uso pessoal em evidência. Considerando essas informações e o conteúdo estudado, pode-se afirmar que o nome desse sistema operacional é:</t>
  </si>
  <si>
    <t>DOS.</t>
  </si>
  <si>
    <t>Ao observarmos as empresas, sabemos que cada sistema de informação cumpre um papel específico. Dentre esses papeis, podemos destacar o controle de processos e transações como sistemas chave, pois eles fornecem os respectivos dados aos demais seguimentos. Considerando essa afirmação e o conteúdo estudado, podemos afirmar que os seguintes tipos de Sistemas de Informação apoiam o nível operacional:</t>
  </si>
  <si>
    <t>SIT, SPT.</t>
  </si>
  <si>
    <t>As tecnologias da internet são compostas por diversos equipamentos físicos e estruturas lógicas. Dentre as estruturas físicas, sempre temos a impressão de salientar os servidores e os cabeamentos, porém, existe um equipamento que é igualmente importante e responde pela conexão de um ambiente interno com a internet. Tendo em vista essa informação e o conteúdo estudado, pode-se afirmar que o trecho acima se refere ao:</t>
  </si>
  <si>
    <t>roteador.</t>
  </si>
  <si>
    <t>Com a evolução da internet durante os anos, os sites, que antes eram ambientes apenas passivos em que as informações eram disponibilizadas, se tornaram ambientes dinâmicos e ativos. O uso de banco de dados web é uma prática que vem se popularizando durante os anos: um site que é alimentado por informações permite que o negócio da empresa possa caminhar em paralelo com o desejo do cliente. Dentre as profissões web existe um profissional que trabalha especificamente para garantir a melhor forma de receber os dados produzidos pela internet e transformá-los em fonte de negócio. Considerando o conteúdo estudado, pode-se afirmar que esse profissional é o:</t>
  </si>
  <si>
    <t>DBA.</t>
  </si>
  <si>
    <t>Com o avanço das tecnologias aplicadas à internet, diversos serviços começaram a ser disponibilizados por empresas, a fim de manter os usuários em suas plataformas e aproveitar este acesso para promover marcas e, assim, transformar usuários em clientes potenciais. Esta prática vem sendo aperfeiçoada durante os anos e, hoje, já podemos encontrar serviços que são baseados em consumo. Dentre os serviços utilizados pelos usuários na internet, existe uma estrutura que foi criada com base em interesses em comum, partilhando experiências sobre determinado assunto e esta estrutura tem auxiliado na disseminação de informações e tem sido utilizada com intuito de marketing e divulgação. Considerando essas informações e o conteúdo estudado, pode-se afirmar que estamos falando sobre:</t>
  </si>
  <si>
    <t>as redes sociais.</t>
  </si>
  <si>
    <t>Com o uso e a popularização da internet, novas profissões foram surgindo, relacionadas ao uso físico da internet, à produção de conteúdo, ao desenvolvimento de ambientes virtuais ou até mesmo à criação de mercados virtuais para compra e venda. Dentre as profissões que surgiram com a internet, uma delas se destaca como a principal, pois seus profissionais fazem todo o trabalho de arquitetura de páginas na internet, combinando tecnologias e linguagens, a fim de permitir que o navegador entenda e apresente as informações contidas em um site. Considerando o conteúdo estudado, é possível afirmar que esse profissional de destaque é o:</t>
  </si>
  <si>
    <t>Web Designer.</t>
  </si>
  <si>
    <t>Compreendemos que sistemas de Informação são sistemas complexos que tendem a realizar tarefas em um sistema computacional. No ramo empresarial, sabemos que existem classificações de sistemas de informação. Esses sistemas atendem em geral três níveis organizacionais (estratégico, gerencial e operacional). Considerando essas informações e o conteúdo estudado, podemos afirmar que os tipos de Sistemas de Informação que apoiam o nível estratégico são:</t>
  </si>
  <si>
    <t>SIE/SAD.</t>
  </si>
  <si>
    <t>Dashboard são painéis interativos de controle e acesso a diversas informações especiais e indicadores de uma ou mais situações que são importantes para o negócio de uma determinada empresa. Dentre suas características, podemos destacar a grande quantidade de dados que podem ser visualizados rapidamente, tornando a tomada de decisão algo mais simples e objetiva.Considerando as maneiras de uma dashboard apresentar os conteúdos aos usuários, podemos afirmar que os ______________________ não podem ser usadas de forma visual em uma dashboard.</t>
  </si>
  <si>
    <t>dados desordenados.</t>
  </si>
  <si>
    <t>Data Mining é um conceito abrangente que visa descobrir regras, identificar fatores, descobrir padrões de relacionamentos, compreender tendências-chaves e obter vantagem competitiva, seu uso é generalista e suas informações vêm de diversas fontes, como análise de mercado, por exemplo.“Mineração de Conteúdo da Web, é o processo de extração de conhecimento do conteúdo de documentos e de seus metadados (descrição, informações sobre autores, palavras-chave, etc.).”Fonte: SANTOS, Rafael, Conceitos de Mineração de Dados na Web, 2009, disponível em: &lt;http://www.lac.inpe.br/~rafael.santos/Docs/WebMedia/2009/webmedia2009.pdf&gt; acesso 24.fev.2019Sabendo que os sistemas de Web Mining são atrelados a captura de dados através da internet, existem fontes de dados a serem consideradas, como: a) Páginas de Textosb) Dados Multimídiac) Grupos de Discussõesd) E-mailse) BlogsConsiderando essas informações e o conteúdo estudado sobre Data Mining, é correto afirmar que:</t>
  </si>
  <si>
    <t>todas as buscas são importantes para os objetivos dos sistemas de Data Mining.</t>
  </si>
  <si>
    <t>Dentre as evoluções da conectividade, a utilização de sinais de rádio para conectar os diversos componentes eletrônicos ao mesmo meio físico foi um marco histórico. A possibilidade de conexão sem fio promoveu um avanço considerável na variedade de equipamentos capazes de se conectar à internet. A revolução foi tanta que se criou o conceito conhecido como IoT (Internet of Things). Este conceito apoia a ideia de que qualquer coisa pode ser projetada para ser um host em uma rede. Com base no conteúdo estudado, assinale, dentre os equipamentos abaixo, qual tem a capacidade de enviar sinais de rádio para a conexão de equipamentos.</t>
  </si>
  <si>
    <t>Roteador Wireless.</t>
  </si>
  <si>
    <t>Dentre as possibilidades do uso de rede de computadores, sabemos que o compartilhamento de informações é de longe a maior vantagem. Desde a criação das redes de computadores, no final de 1969, o propósito sempre foi promover o compartilhamento de informações entre os usuários e, dessa forma, promover um conjunto de soluções que permitisse que vários usuários pudessem usufruir da mesma informação. A respeito das possibilidades de compartilhamento de informações e considerando os conteúdos estudados, analise as afirmativas a seguir e assinale V para a(s) verdadeira(s) e F para a(s) falsa(s).I. () O compartilhamento de arquivos é necessário para que diversos usuários possam ter acesso ao mesmo arquivo, promovendo a colaboração de tarefas de forma simultânea.II. ( ) O compartilhamento de sistemas é uma prática assertiva nas redes de computadores, pois é possível manter a base de dados em apenas um servidor e partilhar as informações com os demais usuários.III. ( ) O compartilhamento de impressoras auxilia na redução dos custos com impressão e manutenção desses equipamentos, além de auxiliar em uma plena gerência de uso deste ativo.IV. (  ) O compartilhamento de recursos informatizados promove organização, apesar do aumento de custos e lentidão do negócio.Agora, assinale a alternativa que apresenta a sequência correta:</t>
  </si>
  <si>
    <t>Dentre os principais sistemas de informação, existe um que tem características importantes, pois atende todos os aspectos operacionais e gerenciais da maioria das empresas, esse sistema automatiza os processos e integram as atividades de vendas, finanças, contabilidade, fiscal, estoque, compras, recursos humanos, produção e logística. Considerando essas informações e o conteúdo estudado, podemos afirmar que o sistema de informação que tem essas características é o:</t>
  </si>
  <si>
    <t>ERP.</t>
  </si>
  <si>
    <t>Dentre os sistemas de informação em uma organização, temos um que se destaca na entrega do produto final ao cliente. Esses sistemas visam organizar as principais vertentes logísticas e de produção para que esse produto chegue ao cliente com um nível bom de satisfação.Considerando essas informações e o conteúdo estudado, podemos afirmar que o sistema de informação que tem essas características é o:</t>
  </si>
  <si>
    <t>SCM.</t>
  </si>
  <si>
    <t>Em um mundo cheio de informações, os cuidados com a informação são primordiais para o futuro da organização. Sabemos que a proteção vem em primeiro lugar e os cuidados devem ser tomados para garantir que as informações estejam seguras e disponíveis quando forem necessárias. A segurança da informação é o campo que estuda os aspectos da proteção e disponibilidade dessas informações.Considerando essas informações e os conteúdos estudados, podemos dividir a segurança da informação em dois aspectos fundamentais:</t>
  </si>
  <si>
    <t>Segurança Física e Segurança Lógica</t>
  </si>
  <si>
    <t>Em uma organização, a gerência de processos é um dos itens de maior preocupação dos gestores. A busca por soluções que permitam otimizar o trabalho e por muitas vezes desburocratizar setores vem sido um dos grandes desafios de gerentes. Pensando nisso, surgiu um tipo de sistema que mantém seu foco nos processos, garantindo uma qualidade superior deles e trazendo benefícios às empresas. Considerando essas informações e o conteúdo estudado, podemos afirmar que o sistema de informação que tem essas características é o:</t>
  </si>
  <si>
    <t>BPM.</t>
  </si>
  <si>
    <t>Em uma organização, os cuidados com os clientes são fundamentais para compreender as necessidades e desejos deles. Gerenciar as informações dos clientes envolve práticas que precisam de apoio de sistemas gerenciais que permitam que a empresa utilize estratégias de fidelização e conduta. Considerando essas informações e o conteúdo afirmado, é correto afirmar que o sistema de informações que tem essas características é o:</t>
  </si>
  <si>
    <t>CRM.</t>
  </si>
  <si>
    <t>Existem milhares de softwares, cada um deles com objetivos específicos e com suas características. São os softwares que dão vida aos computadores e permitem que os usuários possam manipulá-los, realizar atividades do dia a dia e solucionar problemas. Os softwares sempre têm um objetivo, desde organizar informações em planilhas de cálculo, digitação de um texto, edição de imagens, vídeos etc. Cada um deles segue uma lógica e visa atender o usuário da maneira mais simples e eficiente possível. Considerando essas informações e o conteúdo estudado, analise as afirmativas a seguir e assinale V para a(s) verdadeira(s) e F para a(s) falsa(s).( ) Podemos considerar software qualquer equipamento eletrônico disponível em um sistemas computacional( ) Softwares de aplicação são programas que têm como objetivo cumprir alguma tarefa no computador.( ) Software de Sistemas são programas que permitem o funcionamento de um computador e são agregados aos sistemas operacionais.( ) Os softwares podem cumprir diversas tarefas em um sistema computacional, incluindo viabilizar o funcionamento de periféricos.</t>
  </si>
  <si>
    <t>F, V, V, V.</t>
  </si>
  <si>
    <t xml:space="preserve">  “A extranet refere-se a uma rede de computadores que utiliza a internet para partilhar parte de seu sistema de informação com segurança. Um extranet permite acesso externo controlado para negócios específicos ou projetos educacionais. As empresas utilizam esse sistema para manter o relacionamento com seus parceiros, clientes e fornecedores”. Fonte: O que é Extreanet? Disponível em: &lt;https://canaltech.com.br/internet/O-que-e-Extranet/&gt;. Acesso em: 03 mar. 2019.Com base no conteúdo estudado sobre a extranet, é correto afirmar que:</t>
  </si>
  <si>
    <t>é uma tecnologia que permite acesso de terceiros às informações da empresa através da internet, geralmente por VPN.</t>
  </si>
  <si>
    <t xml:space="preserve"> “‘A gente não precisa ter medo da tecnologia. Elas vão permitir novas parcerias entre homem e máquina, que vão melhorar as atividades cotidianas e do trabalho. O emprego não vai sumir, mas as estruturas das empresas vão mudar’, diz Luis Gonçalves, presidente da Dell EMC Brasil para comercial.”Fonte: PEGN. As tecnologias que podem impactar sua vida em 2030. Pequenas Empresas Grandes Negócios, 2017. Disponível em: &lt;https://revistapegn.globo.com/Startups/noticia/2017/07/4-tecnologias-podem-impactar-sua-vida-em-2030.html &gt;. Acesso em: 12 out. 2020.Considerando estas informações e o conteúdo sobre tendências tecnológicas, analise as 5 tendências disponíveis a seguir e as associe a suas respectivas tecnologias.1) Hiperconectividade2) Supercomputação3) Computação em Nuvem4) Mundo inteligente5) Segurança Cibernética( ) Computação in-memory, Big Data.( ) Sensores, Robótica, Indústria 4.0, Impressão 3D, Machine Learning, inteligência artificial.( ) Redes sociais e de negócios, Internet das coisas (IoT), mobilidade.( ) Software como serviço (SaaS), Plataforma como serviço (PaaS), Infraestrutura como serviço (IaaS).( ) Segurança de dados, segurança nas interações, segurança nas identidades.Agora, assinale a alternativa que apresenta a sequência correta:</t>
  </si>
  <si>
    <t>2, 4, 1, 3, 5.</t>
  </si>
  <si>
    <t xml:space="preserve"> “A Alexa é o nome da inteligência artificial que permite que o Echo consiga responder perguntas e conectar objetos inteligentes de parceiros da Amazon. Também é possível usar o aparelho para outras funcionalidades, como ouvir notícias do G1, pedir um Uber, comprar na Amazon ou saber como foi o jogo do seu time com as notícias do Globo Esporte.”Fonte: LAVADO, T. Amazon lança Alexa e dispositivos Echo no Brasil. Globo.com, 2019. Disponível em: &lt;https://g1.globo.com/economia/tecnologia/noticia/2019/10/03/amazon-lanca-alexa-e-dispositivos-echo-no-brasil.ghtml&gt;. Acesso em: 11 out. 2020.Considerando essas informações e o conteúdo estudado sobre assistentes digitais, analise as afirmativas a seguir e assinale V para a(s) verdadeira(s) e F para a(s) falsa(s).I. ( ) Cada dispositivo eletrônico, como smartphone, laptop ou central de uma casa inteligente, deve ter um assistente digital específico.II. ( ) Há uma preocupação acerca de que, com a utilização de assistentes digitais, as pessoas fiquem mais distraídas e produzam menos.III. ( ) Uma vantagem dos assistentes digitais é sua flexibilidade, eles podem ser utilizados em diversos locais (casa, trabalho, etc.).IV. ( ) De acordo com a declaração de usuários de assistentes digitais, o motivo principal para os utilizarem é porque são funcionais.Agora, assinale a alternativa que apresenta a sequência correta:</t>
  </si>
  <si>
    <t>F, F, V, V.</t>
  </si>
  <si>
    <t xml:space="preserve"> “A Comissão alerta que as implicações éticas e sociais da tecnologia precisam considerar o entrelaçamento fundamental dos domínios humano e tecnológico – “os seres humanos são seres tecnológicos, assim como as tecnologias são entidades sociais” –, e serem capazes de distinguir os impactos no nível individual (autonomia, identidade, dignidade, privacidade e proteção de dados) e os impactos no nível social (justiça e equidade, identidade coletiva e boa vida, responsabilidade e transparência, democracia, confiança).”Fonte:KAUFMAN, D. Princípios éticos gerais vs regras práticas: reflexões sobre o AI Guidebook do Google. Revista Época, 2020. Disponível em: &lt;https://epocanegocios.globo.com/colunas/IAgora/noticia/2020/07/principios-eticos-gerais-vs-regras-praticas-reflexoes-sobre-o-ai-guidebook-do-google.html&gt;. Acesso em: 02 ago. 2020.Considerando essas informações e o conteúdo estudado sobre computação ubíqua e ética, analise as afirmativas a seguir:I. As máquinas autônomas trazem à tona o dilema ético do paternalismo: impor uma solução viola a autonomia, mas não impor pode fazer com que não seja feito o que é melhor para o outro.II. A possibilidade de a realidade virtual ser empregada em ações físicas, como cirurgias, levanta o dilema ético: será que a ambiguidade da comunicação a distância pode prejudicar o procedimento?III. O dilema ético da privacidade de informações da computação ubíqua refere-se à presença de câmeras e microfones em todos os ambientes e à possibilidade de que estes sejam hackeados.IV. Um grande dilema da computação ubíqua é a atribuição de responsabilidades. Se a decisão de uma máquina causa uma catástrofe, de quem é a responsabilidade? Do programador, da empresa, do supervisor?Está correto apenas o que se afirma em:</t>
  </si>
  <si>
    <t>I, III e IV.</t>
  </si>
  <si>
    <t xml:space="preserve"> “A Indústria 4.0 tem sido caracterizada pela incorporação de emergentes tecnologias de informação ao ambiente de produção, promovendo substanciais ganhos de produtividade e flexibilidade e transformando a natureza do trabalho industrial. Mais do que isso, seus impactos atingem toda a esfera empresarial, política, econômica e social [...].”Fonte: TESSARINI, G.; SALTORATO, P. Impactos da indústria 4.0 na organização do trabalho: uma revisão sistemática da literatura. Revista Produção Online, 18, n. 2, p. 743-769, 2018, p. 743.Considerando o trecho acima e o conteúdo estudado sobre demandas humanas e culturais da Indústria 4.0, analise as afirmativas a seguir e assinale V para a(s) verdadeira(s) e F para a(s) falsa(s):I. ( ) Profissionais qualificados, principalmente aqueles que irão comandar as análises dos dados provenientes da produção, são fundamentais para que se desfrute de resultados positivos na indústria 4.0.II. ( ) Uma vez adotadas as tecnologias da indústria 4.0, o retorno sobre o investimento virá gradualmente, em curto ou médio prazo, já nos próximos meses seguidos da instalação.III. ( ) A preocupação com a segurança de dados está relacionada à confiabilidade, uma vez que muitas decisões serão tomadas baseadas nas análises dos mesmos.IV. ( ) A segurança sobre vazamento de informações é irrelevante, já que, com tantos dados no banco, a concorrência estará impossibilitada de saber como ler ou o que procurar.Agora, assinale a alternativa que apresenta a sequência correta:</t>
  </si>
  <si>
    <t xml:space="preserve"> “A Indústria 4.0 tem sido descrita como o próximo modelo industrial. Para que possa ser de fato implementada em sistemas reais, há necessidade de se estruturar os sistemas de controle e gestão dos processos envolvidos, o que, segundo diversos autores, será realizado pelos Sistemas Ciber-Físicos (CPS) e pela Internet das Coisas (IoT).”Fonte: PISCHING, M.; TASCA, A. A.; PESSOA, M. A.; JUNQUEIRA, F. et al. Arquitetura Para Desenvolvimento De Sistemas Ciber-Físicos Aplicados Na Indústria 4.0. XIII Simpósio Brasileiro de Automação Inteligente Inteligente, 2017, p. 326.Considerando essas informações e o conteúdo estudado sobre as principais características da Indústria 4.0, analise as asserções a seguir e a relação entre elas.I. O poder do 1% está relacionado a otimizações que podem gerar grandes resultados, muitas vezes relacionados a economia em custos operacionais que em um período representam grandes quantias.PorqueII. Os sistemas ciberfísicos possibilitam a realização de simulações fidedignas, já que os parâmetros são alimentados por informações reais de funcionamento da planta de produção, o que permite procurar otimizações.A seguir assinale a alternativa correta:</t>
  </si>
  <si>
    <t>As asserções I e II são proposições verdadeiras, mas a II não é uma justificativa correta da I.</t>
  </si>
  <si>
    <t xml:space="preserve"> “A inteligência artificial está começando a ser útil em quase todos os setores, desde call centers e finanças até pesquisa de medicamentos. No entanto, o recurso também é prejudicado por excesso de entusiasmo, jargões dúbios e tecnologia esotérica, dificultando a identificação das empresas mais interessantes nessa área.”Fonte: OHNSMAN, A.; CAI, K. IA 50: Forbes elege as empresas mais promissoras em inteligência artificial. Forbes, 2020. Disponível em: &lt;https://forbes.com.br/listas/2020/07/ia-50-forbes-elege-as-empresas-mais-promissoras-em-inteligencia-artificial/&gt;. Acesso em: 29 set. 2020.Levando em consideração o trecho acima e o conteúdo sobre inteligência artificial e negócios, analise as asserções a seguir e a relação entre elas.I. Sendo uma ciência universal com diversas funcionalidades e aplicações em quase todo tipo de indústria, a inteligência artificial impactará significativamente os negócios.Porque:II. Ao mesmo tempo que a inteligência artificial irá incentivar a automação de processos substituindo trabalhadores, ela criará oportunidades de inovação e negócio.A seguir assinale a alternativa correta:</t>
  </si>
  <si>
    <t xml:space="preserve"> “A inteligência artificial está transformando nossa relação com a tecnologia, e é a base da revolução digital em curso a partir da confluência de tecnologias do mundo digital (internet das coisas/IoT, blockchain, plataformas digitais), do mundo físico (veículos autônomos, impressão 3D, robótica avançada, novos materiais) e do mundo biológico (manipulação genética)”.Fonte: KAUFMAN, D. A inteligência artificial irá suplantar a inteligência humana? Barueri: Estação das Letras e Cores Editora, 2019.Considerando essas informações e o conteúdo estudado sobre conceitos de inteligência artificial, analise as afirmativas a seguir:I. Aplicativos que usamos em nosso dia a dia como navegadores (ex: Waze e Google Maps) possuem inteligência artificial.II. A inteligência é uma característica que define o ser humano, por isso nos chamamos de Homo Sapiens, que significa “homem sábio”.III. O campo científico da inteligência artificial surgiu nos anos 2000 impulsionado pela criação de smartphones.IV. O primeiro workshop sobre IA trouxe diversos avanços para este campo científico, como a invenção do reconhecimento de voz.Está correto apenas o que se afirma em:</t>
  </si>
  <si>
    <t xml:space="preserve"> “A IoT é utilizada para designar a conectividade entre vários objetos do mundo físico, sensíveis à internet, por exemplo, eletrodomésticos, carros e ainda máquinas e equipamentos industriais através de sensores [...]. A IoT aliada à tecnologia do Big Data, transforma o setor industrial e seus processos decisórios, tendo grande importância para indústria 4.0 sendo este um novo paradigma de processos de produção.”Fonte: COLOMBO, J. F.; DE LUCCA FILHO, J. INTERNET DAS COISAS (IoT) E INDÚSTRIA 4.0: revolucionando o mundo dos negócios. Revista Interface Tecnológica, v. 15, n. 2, 2018, p. 72.Considerando essas informações e o conteúdo estudado sobre as revoluções industriais, analise as afirmativas a seguir:I. A IoT como um conceito horizontal refere-se ao conceito básico de IoT e suas aplicabilidades gerais e mais comuns.II. Quando falamos sobre IoT vertical nos referimos a uma aplicabilidade específica dessa tecnologia como a IoT Industrial ou a IoT comercial.III. A aplicação da IoT ao contexto industrial traz oportunidades para inovar e gerar valor a partir de processos fabris.IV. A demanda individualizada da indústria 4.0 refere-se à possibilidade da máquina de se conectar diretamente ao indivíduo, que no caso é o consumidor.Está correto apenas o que se afirma em:</t>
  </si>
  <si>
    <t>I, II e III.</t>
  </si>
  <si>
    <t xml:space="preserve"> “A máquina não tem compreensão real do que está fazendo: um sistema robótico criado para vencer uma partida contra um campeão de xadrez está seguindo uma configuração específica, com regras bem claras. Agora, sabemos que a tecnologia da constituição das máquinas está se desenvolvendo a passos muito acelerados, com a evolução biológica e tecnológica – com isso, máquinas biológicas poderão nos levar a novos tipos de problemas”.Fonte:TANJI, T. Pesquisadores debatem ética para a criação de máquinas inteligentes. Revista Galileu, 2017. Disponível em: &lt;https://revistagalileu.globo.com/Revista/noticia/2017/06/pesquisadores-debatem-etica-para-criacao-de-maquinas-inteligentes.html&gt;. Acesso em: 02 ago. 2020.Considerando essas informações e o conteúdo estudado sobre computação ubíqua e ética, está correto afirmar que:</t>
  </si>
  <si>
    <t>um dilema ético da computação ubíqua envolve um dos fatores fundamentais da democracia: a dignidade associada à autonomia do indivíduo.</t>
  </si>
  <si>
    <t xml:space="preserve"> “A origem dos smartphones está na convergência de duas tecnologias distintas: a dos telefones celulares, existente desde a década de 1980, e a dos PDA’s (Personal Digital Assistants), bastante populares durante a década de 1990. Enquanto os telefones celulares traziam comunicação com mobilidade, PDA’s eram assistentes de uso pessoal ou corporativo para armazenamento deinformações.”Fonte: QUEIROZ, L. R. IPhone, Android, e a consolidação da cultura do smartphone: o papel do IPhone e do Sistema Operacional Android como catalisadores da consolidação no mercado de smartphones em escala global. R. Tecnol. Soc., 2018, v. 14, n. 30, p. 47-70.Considerando essas informações e o conteúdo estudado sobre smartphones, está correto apenas o que se afirma em:</t>
  </si>
  <si>
    <t>O iPhone, lançado em 2007, revolucionou o mercado de smartphones com um aparelho com cores vibrantes e tela touchscreen.</t>
  </si>
  <si>
    <t xml:space="preserve"> “A revolução tecnológica, no entanto, não chegou ao fim com dispositivos como smartphones. No mundo que se transforma com a internet das coisas e a capacidade para processar um volume gigantesco de dados, limitar-se a uma tela já não é mais suficiente. São inovações que permitiram o surgimento da tecnologia vestível [...]”.Fonte:G1. Inovação junto ao corpo: conheça 5 aplicações da tecnologia vestível. Globo.com, 2020. Disponível em: &lt;https://g1.globo.com/especial-publicitario/inovacao/noticia/2020/04/30/inovacao-junto-ao-corpo-conheca-5-aplicacoes-da-tecnologia-vestivel.ghtml &gt;. Acesso em: 01 ago. 2020.Considerando essas informações e o conteúdo estudado sobre tecnologias vestíveis, está correto afirmar que:</t>
  </si>
  <si>
    <t>com as oportunidades trazidas pela conectividade, empresas estão criando dispositivos vestíveis que se comunicam entre si e com smartphones para oferecer mais facilidades ao usuário.</t>
  </si>
  <si>
    <t xml:space="preserve"> “A Transformação Digital (TD) é um processo que conduz a organização a implementar uma estratégia digital de negócios. É algo que vem ocorrendo há tempos, mas que ganhou sentido de emergência nos últimos anos, devido ao volume e à velocidade de inovações suportadas por tecnologias digitais.”Fonte: SEBRAE. Transformação Digital. SEBRAE. Disponível em: &lt;https://www.sebrae.com.br/sites/PortalSebrae/canais_adicionais/conheca_transformacao_digital&gt;. Acesso em: 12 out. 2020.Considerando essas informações e o conteúdo estudado sobre casos de sucesso de empresas digitais, está correto afirmar que:</t>
  </si>
  <si>
    <t>o processo de transformação digital de uma empresa estabelecida leva em consideração aspectos tecnológicos e culturais.</t>
  </si>
  <si>
    <t xml:space="preserve"> “Acabamos nos acostumando ao fato de que compartilhar o mesmo espaço físico não significa mais compartilhar da mesma experiência. Onde quer que estejamos, levamos conosco opções muito mais interessantes do que o lugar e o momento que vivemos: amigos, familiares, notícias, imagens, modismos, trabalho e lazer cabem na palma da mão.”Fonte: CHATFIELD, T. Como lidar com a nossa hiperconectividade?. BBC Brasil, 2015. Disponível em: &lt;https://www.bbc.com/portuguese/noticias/2015/05/150513_vert_fut_overconectados_ml&gt;. Acesso em: 11 out. 2020.Considerando essas informações e o conteúdo estudado sobre Hiperconectividade, analise as 4 dimensões que serão impactadas por essa tendência disponíveis a seguir e as associe a suas respectivas características.1) Pessoas2) Negócios3) Comunidades4) Sensores( ) São impactados(as), porque podem se conectar a seus parceiros na busca por gerar cada vez mais valor.( ) São impactados(as), porque empresas podem passar a oferecer a eles(as) produtos personalizados.( ) São impactados(as), porque são centrais para a evolução da hiperconectividade.( ) São impactados(as), porque há novas oportunidades de conexão entre seus participantes.Agora, assinale a alternativa que apresenta a sequência correta:</t>
  </si>
  <si>
    <t>2, 1, 4, 3.</t>
  </si>
  <si>
    <t xml:space="preserve"> “Ainda como parte do redesenho de funções e estratégia de recuperação em função da Covid-19, a pesquisa mostra que 41% dos executivos estão investindo em esforços de transformação digital, enquanto 31% estão focados em e-commerce.”Fonte: G1. Pandemia leva empresas a redesenhar funções e priorizar transformação digital, diz pesquisa. Globo.com, 2020. Disponível em: &lt;https://g1.globo.com/economia/concursos-e-emprego/noticia/2020/10/01/pandemia-leva-empresas-a-redesenhar-funcoes-e-priorizar-transformacao-digital-diz-pesquisa.ghtml&gt;. Acesso em: 12 out. 2020.Considerando essas informações e o conteúdo estudado sobre casos de sucesso de empresas digitais, analise as afirmativas a seguir.I. Mudanças em comportamento, atitudes e expectativas dos consumidores e trabalhadores incentivam a transformação digital. II. Altas barreiras de entrada são um impeditivo para que empresas decidam passar pela transformação digital.III. A ameaça do surgimento surpresa de um competidor com um modelo de negócio inovador incentiva a transformação digital.IV. Empresas plug and play são empresas tecnológicas especializadas no desenvolvimento de jogos on-line.Está correto apenas o que se afirma em:</t>
  </si>
  <si>
    <t xml:space="preserve"> “As assistentes de voz são uma grande tendência da tecnologia, e não se restringem aos celulares: aparelhos como alto-falantes inteligentes, como Google Home, Amazon Echo e Apple Homepod também as utilizam, e a tendência é que você controle tudo por voz daqui a uns anos.”Fonte: PADRÃO, M. Mulheres digitais. Por que todas as assistentes virtuais têm vozes femininas? Uol Notícias. Disponível em: &lt;https://www.uol/noticias/especiais/assistentes-de-voz-x-feminismo.htm#tematico-1&gt;. Acesso em: 11 out. 2020.Considerando essas informações e o conteúdo estudado sobre assistentes digitais, analise as afirmativas a seguir.I. Assistentes digitais podem ser um mercado lucrativo, não só pela venda do dispositivo, mas porque pessoas passarão muito tempo conectadas a eles.II. Empresas, no futuro, deverão passar a considerar a influência dos assistentes digitais nas escolhas dos indivíduos.III. A conveniência promovida pelos assistentes digitais é uma grande vantagem, pois encurtam o tempo de busca e compra de itens no geral.IV. Ao escolher o modelo de assistente digital, indivíduos devem levar em consideração que eles terão de se adaptar ao seu funcionamento.Está correto apenas o que se afirma em:</t>
  </si>
  <si>
    <t xml:space="preserve"> “As plataformas digitais estão cada vez mais presentes no cotidiano da população, fazendo com que o mercado de aplicativos cresça sem parar, ano após ano. E as expectativas apontam que o setor chegará a movimentar cerca de US$ 6,3 trilhões de dólares em todo o mundo até 2021.”Fonte: SANTOS, A. Brasil, segundo país onde o mercado de aplicativos mais cresce. Terra, 2020. Disponível em: &lt;https://www.terra.com.br/noticias/dino/brasil-segundo-pais-onde-o-mercado-de-aplicativos-mais-cresce,1fd9d38aa995ad8ca1243f6c58080f79u2ee8tfj.html&gt;. Acesso em: 01 ago. 2020.Considerando essas informações e o conteúdo estudado sobre aplicativos móveis, analise as asserções a seguir e a relação proposta entre elas:I. Nos últimos anos ocorreu a popularização de tecnologias móveis, em especial a de smartphones, que possuem interface com usuário amigável e democrática.Porque: II. Nesse período, ocorreu a melhoria da conectividade sem fio, com a maior oferta de internet conjugada à telefonia móvel e mais pontos de acesso a redes wi-fi públicas.A seguir, assinale a alternativa correta:</t>
  </si>
  <si>
    <t xml:space="preserve"> “As Tecnologias de Informação Móveis, Sem Fio e Ubíquas figuram entre os principais temas atualmente discutidos na área de Sistemas de Informação, tanto no meio empresarial quanto no meio acadêmico. A crescente aplicação dessas tecnologias faz emergir uma série de questões relativas à sua criação, escolha, adaptação e consequências de utilização”.Fonte:SACCOL, A. Z.; REINHARD, N. Tecnologias de informação móveis, sem fio e ubíquas: definições, estado-da-arte e oportunidades de pesquisa. Revista de administração contemporânea, v. 11, n. 4, p. 175-198, 2007. p. 175.Considerando o trecho acima e o conteúdo estudado sobre computação ubíqua e pervasiva, analise as afirmativas a seguir e assinale V para a(s) verdadeira(s) e F para a(s) falsa(s):I. ( ) A computação móvel possibilita que indivíduos estejam conectados e acessem funcionalidades computacionais independente da localidade e deslocamento.II. ( ) A pervasividade da computação refere-se à maneira como a tecnologia se fundiu com nosso cotidiano.III. ( ) A comunicação ubíqua pode ser entendida como a interseção entre computação móvel e computação pervasiva.IV. ( ) Dispositivos eletrônicos passam desapercebidos e atuam, muitas vezes, sem a intervenção humana, o que é uma característica da computação móvel. Agora, assinale a alternativa que apresenta a sequência correta:</t>
  </si>
  <si>
    <t xml:space="preserve"> “Através das eras, o ser humano criou diversas ferramentas que facilitassem o cálculo de quantidades. Nos primórdios usavam-se os dedos das mãos para efetuar esses cálculos, mas com o tempo outras ferramentas foram criadas para servir a esse propósito.”Fonte:CREPALDI, C.; COSTA, L. V.; ESCOBAL, A. A. A História da Computação: Das Máquinas de Calcular aos Computadores Quânticos. Instituto de Física da Universidade de Sao Paulo - IF-USP, 2017. Disponível em:&lt;http://fap.if.usp.br/~crepaldi/archive/ECF_Final.pdf&gt;. Acesso em: 01 jul. 2020.Considerando essas informações e o conteúdo estudado sobre o histórico da evolução tecnológica, analise as asserções a seguir e a relação entre elas:I. O ábaco é considerado o primeiro instrumento com o objetivo de fazer cálculos. Ele foi inventado há milhares de anos, pelo povo da Mesopotâmia.Porque:II. Com o ábaco, o povo sumério, famoso por seus barcos, conseguiria calcular melhor as rotas fluviais, considerando distâncias e correntes.A seguir, assinale a alternativa correta:</t>
  </si>
  <si>
    <t xml:space="preserve"> “Atualmente vive-se uma transformação digital na indústria, que está sendo referenciada como uma nova revolução e conhecida como a quarta revolução industrial. Essa nova revolução foi precedida por três anteriores, sendo que a primeira foi baseada no carvão como fonte de energia, impulsionando, assim, as máquinas a vapor e transformando o trabalho artesanal em automatizado; posteriormente, houve a segunda revolução industrial, baseada em conceitos de eletricidade para atingir a produção em massa; já a terceira revolução industrial baseou-se em sistemas eletrônicos e computacionais [...].”Fonte: AZEVEDO, M. T. d. Transformação digital na indústria: indústria 4.0 e a rede de água inteligente no Brasil. 2017. Tese (Doutorado) – Universidade de São Paulo, São Paulo, 2017. p. 8. Considerando essas informações e o conteúdo estudado sobre Indústria 4.0, analise as afirmativas a seguir:I. Uma revolução industrial é caracterizada por mudanças significativas que impactam na maneira de produção e produtividade, mas também na sociedade.II. O termo indústria 4.0 surgiu pela transformação que a tecnologia de Internet móvel 4G exerceu sobre a sociedade que vivemos.III. O termo indústria 4.0 foi citado pela primeira vez no início dos anos 2000 em uma conferência da ONU sobre o futuro da produção e seus impactos sociais.IV. A nova revolução industrial que estamos vivendo possui como uma de suas principais características a integração da IoT ao sistema de produção.Está correto apenas o que se afirma em:</t>
  </si>
  <si>
    <t xml:space="preserve"> “Atualmente, enfrentamos uma grande diversidade de desafios fascinantes; entre eles, o mais intenso e importante é o entendimento e a modelagem da nova revolução tecnológica, a qual implica nada menos que a transformação de toda a humanidade. Estamos no início de uma revolução que alterará profundamente a maneira como vivemos, trabalhamos e nos relacionamos. Em sua escala, escopo e complexidade, a quarta revolução industrial é algo que considero diferente de tudo aquilo que já foi experimentado pela humanidade.”Fonte: SCHWAB, K. A quarta revolução industrial. São Paulo: Edipro, 2019. p. 14.Considerando o trecho acima e o conteúdo estudado sobre as revoluções industriais, analise as afirmativas a seguir e assinale V para a(s) verdadeira(s) e F para a(s) falsa(s):I. ( ) Sensores e comunicação máquina a máquina são tecnologias que surgiram junto à indústria 4.0.II. ( ) O uso de big data integrado à IoT e à computação em nuvem possibilita a coleta e o processamento rápido de informações da produção.III. ( ) Com a IoT, cada vez mais coisas se conectam umas às outras; no entanto, a visão futurística de que tudo estará conectado é uma utopia.IV. ( ) O conceito de produtos inteligentes refere-se à possibilidade de se identificar e localizar os produtos em todas as fases de produção e logística.Agora, assinale a alternativa que apresenta a sequência correta:</t>
  </si>
  <si>
    <t>F, V, F, V.</t>
  </si>
  <si>
    <t xml:space="preserve"> “Atualmente, estar conectado digitalmente é uma condição fundamental para se sentir inserido em um mundo cada vez mais interativo, em que a informação é uma importante moeda de poder e troca. Essa realidade se faz presente não só no âmbito organizacional, mas também na esfera privada dos indivíduos.”Fonte: BORGES, A. P.; JOIA, L. A. Executivos e smartphones: uma relação ambígua e paradoxal. Organizações &amp; Sociedade, v. 20, p. 586, 2013.Considerando essas informações e o conteúdo estudado sobre o impacto no cotidiano e o impacto negativo dos smartphones, está correto apenas o que se afirma em:</t>
  </si>
  <si>
    <t>Pesquisas mostram que a mera presença ou ausência do smartphone afeta na performance de testes de desafios mentais, prejudicando o foco do respondente.</t>
  </si>
  <si>
    <t xml:space="preserve"> “Big data, internet das coisas (IoT), automação digital com sensores para controle de processos, inteligência artificial (IA), sistemas integrados de engenharia para desenvolvimento e manufatura de produtos. Essas são algumas das novas tecnologias digitais que estão presentes, ainda que isoladas, em sete de cada dez grandes empresas industriais no Brasil, segundo levantamento da Confederação Nacional da Indústria (CNI). Mas ainda há muito a ser feito para que as empresas nacionais tirem proveito do uso desses recursos e consigam competir em um mercado global.”Fonte: CNI. Brasil se insere na indústria 4.0, mas é preciso acelerar o passo. Época Negócios, 2019. Disponível em: &lt;https://epoca.globo.com/economia/brasil-se-insere-na-industria-40-mas-preciso-acelerar-passo-24008365&gt;. Acesso em: 29 set. 2020.Considerando essas informações e o conteúdo estudado sobre as principais características da Indústria 4.0, está correto afirmar que:</t>
  </si>
  <si>
    <t>as fábricas inteligentes da indústria 4.0 não devem operar isoladamente, precisam estar conectadas às outras áreas da empresa como marketing, vendas e logística.</t>
  </si>
  <si>
    <t xml:space="preserve"> “Comércio eletrônico é aquele comércio realizado por meio da internet. Este é o conceito mais simples e amplo que se pode formular. Nesse conceito estão incluídos diversos tipos de relações comerciais, seja entre empresas e consumidores, o chamado B2C (bunisses to consumer), empresas e empresas,o B2B (bunisses to bunisses), consumidor e consumidor, o C2C (consumer toconsumer), entre outros.”Fonte: Serviço Brasileiro de Apoio às Micro e Pequenas Empresas – Sebrae, Aspectos Legais do E-Commerce, 2014, Brasília-DF, disponível em &lt;https://bibliotecas.sebrae.com.br/chronus/ARQUIVOS_CHRONUS/bds/bds.nsf/1fb2b554ec81cb7a7da2eeab6ecef4c3/$File/5051.pdf &gt; acesso 05 de abril de 2019.Considerando essas informações e o conteúdo estudado sobre os sistemas de e-commerce, é correto afirmar que:</t>
  </si>
  <si>
    <t>são sistemas que abrangem vendas entre as empresas, pessoas e até mesmo instituições governamentais.</t>
  </si>
  <si>
    <t xml:space="preserve"> “Considerado um computador de bolso e com acesso a milhões de aplicativos, sua principal característica é a quebra da limitação da mobilidade, acompanhando o seu usuário 24 horas por dia em qualquer lugar. Essa qualidade é fundamental para auxiliar a assistência em saúde, uma vez que esses profissionais deslocam-se constantemente dentro das instituições em que trabalham.”Fonte: TIBES, C. M. S.; DIAS, J. D.; ZEM-MASCARENHAS, S. H. Aplicativos móveis desenvolvidos para a área da saúde no Brasil: revisão integrativa da literatura. Revista Mineira de Enfermagem, v. 18, n. 2, p. 471, 2014.Considerando o trecho apresentado e o conteúdo estudado sobre o impacto da tecnologia móvel, analise as afirmativas a seguir e assinale V para a(s) verdadeira(s) e F para a (s) falsa(s):I. ( ) Apesar da popularização dos smartphones e do aumento da oferta de curso, o ensino a distância no Brasil tem caído, mostrando o preconceito da população com esse método de ensino.II. ( ) Especialistas apontam como vantagens do ensino com apoio de tecnologias móveis a facilidade do ensino em diferentes situações e a transferência do aprendizado de um lugar para outro.III. ( ) Com a tecnologia de realidade aumentada, jogos educacionais digitais móveis possibilitam a mistura entre o virtual e a realidade momentânea do aluno, tornando o aprendizado mais motivador, engajador e imersivo.IV. ( ) Smartphones podem auxiliar profissionais da saúde de diversas maneiras, por exemplo, possibilitando a telemedicina e o cálculo de dosagem e formulação de medicamentos no momento do atendimento.V. ( ) O uso de tecnologias móveis pelos próprios pacientes na busca de informações e diagnósticos é considerado prejudicial, mesmo em casos de sintomas leves.Agora, assinale a alternativa que apresenta a sequência correta:</t>
  </si>
  <si>
    <t>F, V, V, V, F.</t>
  </si>
  <si>
    <t xml:space="preserve"> “É digno de registro como o tópico da comunicação móvel vem crescendo em complexidade no momento em que penetra em diferentes culturas e classes sociais. Em países como o Brasil, isso provoca um grande impacto em diferentes camadas econômicas.”Fonte:PELLANDA, E. C. Comunicação móvel no contexto brasileiro. In: LEMOS, A.;JOSGRILBERG, F. Comunicação e mobilidade, Salvador: EDUFBA, 2009, p. 11.Considerando essas informações e o conteúdo estudado sobre o impacto da tecnologia móvel, analise as afirmativas a seguir:I. Empresas já estabelecidas no mercado foram forçadas a se adaptarem tanto na oferta para os consumidores, que possuem novas exigências, quanto na maneira que organizam o ambiente de trabalho.II. Apesar de seus consumidores passarem a usar smartphones para ouvir música e ler, gravadoras e editoras mantiveram suas estratégias de negócio, pois o mercado de nostalgia ainda consome CDs e livros.III. Com o avanço da infraestrutura digital, as empresas grandes existentes são ameaçadas e a economia sofre. Há estudos que comprovam a relação negativa entre aumento da penetração da banda larga e aumento do PIB.IV. A popularização da internet e da tecnologia móvel impulsionou pequenos negócios. Antes, eles não conseguiam espaço na prateleira de grandes redes, mas atualmente conseguem vender diretamente para seu consumidor final.V. Com grande popularidade de redes sociais, novas maneiras de fazer publicidade surgiram. Influenciadores digitais são formadores de opinião on-line e podem funcionar como porta-voz de marcas para seus seguidores.Está correto apenas o que se afirma em:</t>
  </si>
  <si>
    <t>I, IV e V.</t>
  </si>
  <si>
    <t xml:space="preserve"> “É notável a presença de inteligência artificial (AI) e machine learning (ML) atualmente, seja por reconhecimento de fala, compras em lojas ou automações. Hoje, cada vez mais, é comum estar diante de uma situação em que uma máquina, através do comportamento do usuário, fez uma escolha para ele. Através dessa tecnologia, a máquina identifica os padrões que podem ser utilizados em análises e sugestões, gerando possibilidades de relacionamento mais próxima entre consumidor e empresa.”Fonte: DINO. Como a Machine Learning está revolucionando o cenário dos negócios. Terra.com, 2019. Disponível em: &lt;https://www.terra.com.br/noticias/dino/como-a-machine-learning-esta-revolucionando-o-cenario-dos-negocios,3397de1473cb228e7d5579bc46190c95kqowb3my.html&gt;. Acesso em: 29 set. 2020.Considerando essas informações e o conteúdo estudado sobre machine learning, analise as afirmativas a seguir:I. Os tipos de aprendizagem de máquina são aprendizado supervisionado, aprendizado guiado e aprendizado não supervisionado.II. No aprendizado supervisionado, os problemas a serem resolvidos são definidos e há conhecimento prévio do banco de dados.III. No aprendizado guiado, os problemas são definidos, mas os bancos de dados são desconhecidos.IV. No aprendizado não supervisionado, os problemas não são definidos e as características dos dados do banco não são conhecidas.Está correto apenas o que se afirma em:</t>
  </si>
  <si>
    <t xml:space="preserve"> “E temos algo mais: falamos muito mais uns com os outros do que em qualquer momento no passado. Estou falando de globalização. De repente, diferentes visões sobre o que está certo e errado estão colidindo de uma forma que nunca aconteceu. Quanto mais tecnologia, ciência e poder tivermos sobre qualquer coisa – sociedade, o ambiente, nossas próprias vidas –, mais urgentes ficam as questões éticas”.Fonte: HERNANDES, R. Ética cresce em importância no mundo com menos religião, diz Luciano Floridi. Folha de S. Paulo, 2020. Disponível em: &lt;https://temas.folha.uol.com.br/inteligencia-artificial/entrevistas/etica-cresce-em-importancia-no-mundo-com-menos-religiao-diz-luciano-floridi.shtml&gt;. Acesso em: 02 ago. 2020.Levando em consideração o trecho acima e o conteúdo estudado sobre computação ubíqua e ética, analise as asserções a seguir e a relação proposta entre elas.I. O dilema ético da computação ubíqua relacionado à justiça distributiva refere-se à preocupação com a igualdade digital e o desenvolvimento sustentável.Porque:II. A posse ou a não posse de dispositivos pode representar um agravante para o aumento da desigualdade digital e a produção destes dispositivos utiliza muita água, o que é nocivo ao meio ambiente.A seguir, assinale a alternativa correta:</t>
  </si>
  <si>
    <t xml:space="preserve"> “Em um estudo da PEGA, descobriu-se que 72% das pessoas já compreendem o que é inteligência artificial e apenas 28% apresentam algum tipo de desconforto com a tecnologia. Não é surpresa o aumento da procura de empresas e que seus esforços estejam tão focados nisso. Em um momento de mercado em que cada vez mais o tempo é um fator determinante aliado a personalização de soluções para cada usuário, a inteligência artificial se torna um aliado no negócio.”Fonte: DINO. Como a Machine Learning está revolucionando o cenário dos negócios. Terra.com, 2019. Disponível em: &lt;https://www.terra.com.br/noticias/dino/como-a-machine-learning-esta-revolucionando-o-cenario-dos-negocios,3397de1473cb228e7d5579bc46190c95kqowb3my.html&gt;. Acesso em: 29 set. 2020.Considerando o trecho acima e o conteúdo estudado sobre inteligência artificial e negócios, analise as afirmativas a seguir e assinale V para a(s) verdadeira(s) e F para a(s) falsa(s):I. ( ) Data mining ou mineração de dados é o processo de encontrar e analisar dados para descobrir conhecimento.II. ( ) O primeiro contado das pessoas com a inteligência artificial se dá geralmente como consumidores em seus aplicativos no smartphone.III. ( ) Espera-se que com a utilização da Inteligência artificial seja possível a diminuição de erros e redução de custos em uma empresa.IV. ( ) O emprego da inteligência artificial tende a eliminar as cadeiras de nível básico e júnior nas empresas.Agora, assinale a alternativa que apresenta a sequência correta:</t>
  </si>
  <si>
    <t xml:space="preserve"> “Em vez de tentar ensinar o computador, agora a jogada é fazê-lo aprender sozinho, usando as chamadas redes neurais artificiais. ‘No cérebro, os neurônios se conectam uns aos outros e trocam informações, se conectam uns aos outros e trocam informações. No sistema artificial, é a mesma coisa. Só que no lugar dos neurônios nós temos uma coleção de funções matemáticas’, explica Greg.”Fonte: GARATTONI, B. A nova arma do Google Super Interessante, 2017. Disponível em: &lt;https://super.abril.com.br/tecnologia/a-nova-arma-do-google/&gt;. Acesso em: 29 set. 2020.Considerando essas informações e o conteúdo estudado sobre machine learning, analise as afirmativas a seguir:I. Aprender um novo idioma e memorizar palavras pode parecer difícil para o ser humano, mas para máquinas é tão simples quanto guardar uma informação em uma pasta.II. Cálculos matemáticos também são armazenados na memória do computador, desta maneira, para qualquer operação, a IA pode buscar no banco de dados a resposta.III. Machine learning é a capacidade de uma máquina dotada de inteligência artificial em aprender conforme passa por novas experiências ou é alimentada com mais dados.IV. Assim como o ser humano, a máquina também está sujeita ao cansaço motor, que se assemelha à fadiga ou a sobrecarga de trabalho que ocorre com humanos.Está correto apenas o que se afirma em:</t>
  </si>
  <si>
    <t xml:space="preserve"> “Essa revolução começou com a difusão das tecnologias de comunicação desenvolvidas nas últimas décadas do século 20 e se intensificou com os avanços na inteligência artificial e na biotecnologia. A partir da primeira década do século 21, numa velocidade muito maior do que nas três revoluções anteriores, a Quarta Revolução Industrial passou a envolver o conjunto de recursos produtivos propiciados por tecnologia de robótica e inteligência artificial, que vem possibilitando grandes ganhos de produtividade e de competitividade em todo mundo.”Fonte: ESTADÃO. Os Desafios da Indústria 4.0. Estadão Online, 2019. Disponível em: &lt;https://opiniao.estadao.com.br/noticias/notas-e-informacoes,o-desafio-da-industria-40,70003091856&gt;. Acesso em: 29 set. 2020.Considerando essas informações e o conteúdo estudado sobre princípios de Design da Indústria 4.0, analise os cinco princípios a seguir e associe-os com suas respectivas explicações: 1) Interoperabilidade.2) Virtualização.3) Descentralização.4) Capacidade em tempo real.5) Modularidade.( ) Por meio da IoT, é a capacidade de atuar em conjunto.( ) É a capacidade de adaptação da indústria 4.0.( ) É a capacidade de realizar simulações da produção sem alterações físicas.( ) É o esforço de que análises sejam feitas ao mesmo tempo que o processo acontece.( ) É a autonomia que os componentes de uma fábrica inteligente possuem.Agora, assinale a alternativa que apresenta a sequência correta:</t>
  </si>
  <si>
    <t>1, 5, 2, 4, 3.</t>
  </si>
  <si>
    <t xml:space="preserve"> “Essas ‘coisas’ não seriam apenas smartphone e tablets. A expressão (em inglês “Internet Of Things”, representada pela sigla IoT) refere-se a um ecossistema que interliga qualquer objeto do cotidiano à rede sem fio da internet, como geladeiras, óculos, elevadores, roupas, carro, entre outros. Um dos principais exemplos é o Google Glass, óculos inteligentes do Google, que realiza uma série de atividades e conta com recursos como Realidade Aumentada, mensagens instantâneas e videoconferências.”Fonte: CUNHA, C. Internet das Coisas - O que muda quando não só pessoas, mas os objetos também se conectam? UOL. Disponível em: &lt;https://vestibular.uol.com.br/resumo-das-disciplinas/atualidades/internet-das-coisas-o-que-muda-quando-nao-so-pessoas-mas-os-objetos-tambem-se-conectam.htm&gt;. Acesso em: 12 out. 2020.Considerando essas informações e o conteúdo estudado sobre mundo inteligente, analise as afirmativas a seguir:I. Robôs inteligentes tornam o mundo mais inteligente, à medida que inserem, na sociedade, máquinas que se comportam e se parecem com humanos.II. No mundo inteligente, a impressão inteligente permite que a produção passe de analógica para digital.III. A inteligência artificial é comumente adotada por empresas com abordagens híbridas.IV. Produtos inteligentes são objetos aos quais se agregou valor ao se adicionar componentes eletrônicos.Está correto apenas o que se afirma em:</t>
  </si>
  <si>
    <t>II, III e IV.</t>
  </si>
  <si>
    <t xml:space="preserve"> “Esta nova economia tem como ponto de transição, a mudança na relação produtor e consumidor, antes extremamente definida, em que o primeiro fazia o produto e o segundo, passivamente, assistia-lhe. Isto acarretou uma nova sistemática que coloca questionamentos aos setores econômicos que sofrerão drásticas consequências por terem de remodelar sua forma de atuação no mercado (especialmente as empresas produtoras de informação, tanto impresso, quanto audiovisual, passando pelo musical).”Fonte: MASSAROLO, J. C.; ALVARENGA, M. V. T. d. A indústria audiovisual e os novos arranjos da economia digital. In.: MELEIRO, A. (Org.). Cinema e Mercado. São Paulo: Escrituras, 2009, v. 3. Considerando essas informações e o conteúdo estudado sobre tendências tecnológicas, pode-se afirmar que:</t>
  </si>
  <si>
    <t>a economia digital engloba o mercado formado por oportunidades, desafios e novos modelos de negócio, que surgem com as novas tecnologias.</t>
  </si>
  <si>
    <t xml:space="preserve"> “Eu acho que os objetivos de se falar de uma geração são diversos. O primeiro é reconhecer que o mundo está em rápida transição. A transição do mundo ocidental não ocorre na mesma evolução que ocorria há 40, 50 anos atrás. [...] Outro aspecto que eu acho importante é utilizar as gerações como uma chave, como uma lente para entender o comportamento do outro. [...] Conseguir retraçar o caminho histórico, os eventos sociais que levaram àquela visão de mundo favorecem uma empatia do outro.”Fonte:A importância do estudo das gerações. Postado por Canal Casa do Saber(3min. 47seg.). col. port. Disponível em:&lt;https://www.youtube.com/watch?v=slsXKseXASg&gt;. Acesso em: 25 jun. 2020Considerando essas informações e o conteúdo estudado sobre as gerações X, Y e Z, analise as afirmativas a seguir e assinale V para a(s) verdadeira(s) e F para a (s) falsa(s):I. ( ) Uma geração é um grupo de pessoas que, ao passar por acontecimentos parecidos consoantes à sua época, desenvolvem comportamentos similares.II. ( ) Em média, cinco gerações coexistem em uma sociedade, o que causa conflitos geracionais.III. ( ) São exemplos de eventos que marcam uma geração: guerras, pandemias e invenções tecnológicas.IV ( ) A duração média de uma geração é de 10 anos e, normalmente, os filhos são duas gerações mais novos que seus pais.Agora, assinale a alternativa que apresenta a sequência correta:</t>
  </si>
  <si>
    <t xml:space="preserve"> “Foram necessários milhões de anos de evolução para o homem largar sua origem primata e aprender a se sustentar com eficiência sobre os dois pés. Pois bastaram algumas décadas de uso intenso da tecnologia para nossa coluna vertebral cuidadosamente moldada enfrentar seu primeiro grande desafio. O principal inimigo está nas mãos de mais de 5 bilhões de pessoas: o smartphone”.Fonte:ONE, A. Uso excessivo e errado do celular pode causar dor. Revista Época, 2019. Disponível em: &lt;https://epoca.globo.com/uso-excessivo-errado-do-celular-pode-causar-dor-do-pescoco-tecnologico-23973462&gt;. Acesso em: 01 ago. 2020.Considerando essas informações e o conteúdo estudado sobre o cenário atual da computação, analise as afirmativas a seguir:I. Text neck é um termo novo que remete à postura indevida de cabeça baixa do usuário ao utilizar seu smartphone, que pode ser causadora de dores de cabeça e de dores nos braços e ombros. II. WhatsAppitis, em “homenagem” ao aplicativo de mensagens instantâneas Whatsapp, é um diagnóstico da dor bilateral do punho, gerada pelo movimento repetitivo de digitar.III. Muitos estudos teorizam a relação entre a utilização de smartphones e acidentes de carro devido à distração dos motoristas, mas ainda faltam provas empíricas sobre tal fato.IV. Com a tecnologia móvel, pedestres se deslocam focando sua atenção nas telas de seus smartphones, desatentos ao que ocorre à sua volta, o que aumenta o risco de acidentes. Está correto apenas o que se afirma em:</t>
  </si>
  <si>
    <t>I, II e IV.</t>
  </si>
  <si>
    <t xml:space="preserve"> “in·te·li·gên·ci·a (latim intelligentia, -ae, plural neutro de intelligens, -entis, particípio presente de intelligo, -ere, perceber, compreender) – Conjunto de todas as faculdades intelectuais (memória, imaginação, juízo, raciocínio, .abstração e .concepção).”Fonte: PRIBERAM. Dicionário Priberam da Língua Portuguesa. Disponível em: &lt;https://dicionario.priberam.org/intelig%C3%AAncia&gt;. Acesso em: 29 set. 2020.Considerando essas informações e, de acordo o conteúdo estudado sobre inteligência e inteligência artificial, analise as afirmativas a seguir:I. A inteligência humana possui a capacidade de perceber o mundo, as coisas e a si mesmo.II. A inteligência humana possui a capacidade de aprender e se adaptar ao longo do tempo.III. A inteligência humana tem a capacidade de considerar infinitas variáveis para a resolução de um problema.IV. A inteligência artificial possui a capacidade de aprender e se adaptar ao longo do tempo.Está correto apenas o que se afirma em:</t>
  </si>
  <si>
    <t xml:space="preserve"> “Inquestionavelmente, a complexidade das organizações está a aumentar, requerendo SI igualmente mais complexos para a satisfação das suas necessidades de informação [...] Cada organização necessita de lidar com diferentes problemas, envolvendo diferentes profissionais (com experiência e formação diferentes), utilizando métodos e técnicas distintos, recorrendo a diferentes fornecedores para obter os serviços que necessita etc.” Fonte: VARAJÃO, João Eduardo Quintela Alves de Sousa. Função de Sistemas de Informação: Contributos para a melhoria do sucesso da adopção de tecnologias de informação e desenvolvimento de sistemas de informação nas organizações. 2002. 425 f. Tese (Doutorado) - Curso de Sistemas de Informação, Universidade do Minho, Guimarães, 2002. Disponível em &lt;https://repositorium.sdum.uminho.pt/bitstream/1822/25960/1/TesePhdJoaoVarajao.pdf&gt;. Acesso em: 24 fev. 2019.No trecho apresentado, é possível perceber que os sistemas de informação estão se tornando cada vez mais completos e têm o seu crescimento e complexidade relacionados diretamente ao crescimento da empresa. Sobre os sistemas de informação relacionados a visão geral da empresa, analise as afirmativas a seguir.I. Os sistemas de Informação Estratégicos são os únicos que podem determinar o futuro da organização.II. Os sistemas de apoio da decisão recebem dados de diversas fontes e permitem uma visão panorâmica das situações do cotidiano da empresa.III. Os sistemas de Informação gerencial cuidam do nível operacional, não se preocupando com as demais áreas da empresa.IV. Os sistemas de informação transacionais tendem a se aprofundar nas rotinas de produção e monitoramento de uma organização.Está correto apenas o que se afirma em:</t>
  </si>
  <si>
    <t>II, IV.</t>
  </si>
  <si>
    <t xml:space="preserve"> “Já imaginou como seria mágico se todos os nossos eletrônicos conversassem? Seria possível controlar a casa inteira na palma das mãos. Bem, parece que esse futuro não está tão distante. Recentemente, Apple, Google, Amazon e Zigbee Alliance se uniram para criar uma verdadeira casa inteligente, com dispositivos que são compatíveis entre si e com seus aparelhos comandados por voz”.Fonte:HARADA, A. C. A casa inteligente está mais perto do que você imagina! Casa.com.br, 2020. Disponível em: &lt;https://casa.abril.com.br/tecnologia/a-casa-inteligente-esta-mais-perto-do-que-voce-imagina/&gt;. Acesso em: 02 ago. 2020.Considerando essas informações e o conteúdo estudado sobre conceitos e tecnologias importantes da IoT, analise as afirmativas a seguir:I. Um objeto inteligente é um dispositivo eletrônico que pode ser um objeto comum, mas é capacitado com inteligência artificial.II. Objetos inteligentes interagindo em um local determinado transformam este local em um ambiente inteligente.III. São exemplos de ambientes inteligentes: casas inteligentes, cidades inteligentes, bairros inteligentes, escritórios inteligentes.IV. A adoção da Internet das Coisas em plantas industriais deu origem à Terceira Revolução Industrial.V. Comunicação máquina a máquina e Indústria 3.0 são conceitos iguais, diferem apenas na época em que foram adotados.Está correto apenas o que se afirma em:</t>
  </si>
  <si>
    <t>II e III.</t>
  </si>
  <si>
    <t xml:space="preserve"> “Mas a transformação não inclui só máquinas, hardwares e softwares: o capital humano também passa por uma fase de mudanças. As soft skills terão cada vez mais destaque no universo industrial. É o elemento humano somado ao conhecimento formal. ‘Os trabalhadores não serão demandados somente por suas habilidades técnicas. Será comum atuar na revisão de processos transversais, tomar decisões de forma ágil, trabalhar em equipes dinâmicas e fazer gerenciamento e análise de grandes volumes de dados. Tudo em um ambiente cada vez mais digital’, afirma Noélly Mercer.”Fonte: FIEP. Skills 4.0: estudo analisa habilidades profissionais do futuro. Globo.com, 2020. Disponível em: &lt;https://g1.globo.com/pr/parana/especial-publicitario/fiep/sistema-fiep/noticia/2020/08/18/skills-40-estudo-analisa-habilidades-profissionais-do-futuro.ghtml&gt;. Acesso em: 29 set. 2020.Considerando essas informações e o conteúdo estudado sobre o profissional digital, analise as afirmativas a seguir:I. O aumento no uso de tecnologias da informação e comunicação no ambiente de trabalho modificou as capacidades e habilidades exigidas do trabalhador.II. Há maior demanda por trabalhadores especialistas em desenvolvimento de softwares e em programação em geral para desenvolvimento de produtos.III. As capacidades genéricas de tecnologias da informação e comunicação dizem respeito ao conhecimento sobre a organização geral de dados.IV. Para aproveitar as oportunidades criadas pelas tecnologias da informação e comunicação, novas habilidades comportamentais são exigidas dos trabalhadores.Está correto apenas o que se afirma em:</t>
  </si>
  <si>
    <t xml:space="preserve"> “Mil pessoas aceitaram ser ‘etiquetadas’ em um festival de arte na Áustria. Cada uma recebia uma tarja, semelhante a um código de barras, com um chip e um transmissor de rádio. [...] Sempre que dois desses indivíduos se encontravam, as etiquetas registravam a hora e o local da interação. Reunidos os dados, esses encontros foram representados graficamente por pontos ligados entre si, formando uma ‘teia de relacionamentos’ – um mapa em tempo real das relações sociais do festival”.Fonte: SUPERINTERESSANTE. O Mundo, versão online. 2004. Disponível em: &lt;https://super.abril.com.br/tecnologia/o-mundo-versao-online/&gt;. Acesso em: 02 ago. 2020.Considerando essas informações e o conteúdo estudado sobre as tecnologias importantes para a IoT, está correto afirmar que:</t>
  </si>
  <si>
    <t>tecnologias de identificação são fundamentais para o desenvolvimento da IoT, já que, para que ocorra, é necessária a identificação correta de outros objetos.</t>
  </si>
  <si>
    <t xml:space="preserve"> “Mineração de Dados (Data Mining) é o nome dado a um conjunto de técnicas e procedimentos que tenta extrair informações de nível semântico mais alto a partir de dados brutos, em outras palavras, permitindo a análise de grandes volumes de dados para extração de conhecimento” Fonte: SANTOS, Rafael, Conceitos de Mineração de Dados na Web, 2009, disponível em: &lt;http://www.lac.inpe.br/~rafael.santos/Docs/WebMedia/2009/webmedia2009.pdf &gt; acesso 24.fev.2019Considerando as informações apresentadas e o conteúdo estudado sobre os sistemas de data mining, analise as afirmativas a seguir.I. A mineração de dados visa descobrir regras, identificar fatores, descobrir padrões de relacionamentos.II. A mineração de dados visa compreender as tendências-chave de determinado fator ou necessidade.III. A mineração de dados procurar sempre obter vantagem competitiva.IV. A mineração de dados é uma prática simplificada por uma análise construída a partir de dados de uma mesma fonte.Está correto apenas o que se afirma em</t>
  </si>
  <si>
    <t xml:space="preserve"> “Mudanças nos processos produtivos vem ocorrendo ao longo dos anos. As três revoluções Industriais, ocorridas ao longo de 200 anos, foram marcos históricos dessas alterações, sendo estudadas após ocorrerem. A quarta revolução industrial vem sendo chamada de Indústria 4.0 e, pela primeira vez, é investigada antes de ocorrer, ou enquanto está acontecendo.”Fonte: PEREIRA, A.; DE OLIVEIRA SIMONETTO, E. Indústria 4.0: conceitos e perspectivas para o Brasil. Revista da Universidade Vale do Rio Verde, 16, n. 1, 2018.Considerando essas informações e o conteúdo estudado sobre as Revoluções Industriais, relacione cada revolução às suas principais características: 1) 1ª Revolução Industrial.2) 2ª Revolução Industrial.3) 3ª Revolução Industrial.4) 4ª Revolução Industrial.( ) Internet das Coisas, Big Data, Sistemas Ciberfísicos.( ) Linha de produção, Fordismo, Taylorismo, produção em massa.( ) Máquina a vapor, separação do trabalho, mecanização.( ) Computadores, eletrônicos, automação.Agora, assinale a alternativa que apresenta a sequência correta:</t>
  </si>
  <si>
    <t xml:space="preserve"> “No entanto, com o passar dos tempos, a ideia de tornar o computador atrativo acabou cedendo espaço para ideia de tornar o computador fácil e natural de usar, de forma que ele fosse tão apropriado, tão natural, que poderíamos usá-lo sem sequer pensar ou notar. Surgia assim a computação ubíqua, conceito criado pelo cientista da computação americano Mark Weiser em 1988 e publicado em 1991 no seu artigo ‘The Computer for the 21st Century’."Fonte:RODOVALHO, R. M.; MORAES, R. E. G. Computação Ubíqua e IHC. Departamento de Computação. Universidade Federal Fluminense, 2009.Considerando essas informações e o conteúdo estudado sobre a explicação de Weiser sobre computação ubíqua, analise as afirmativas a seguir:I. Marc Weiser utilizou o termo “computação ubíqua” para falar sobre o paradigma computacional em que ele e seu time estavam imersos e vivenciavam no dia a dia.II. A escrita é um exemplo de tecnologia ubíqua, já que nós nem percebemos o quanto ela está presente em todos os lugares. Nós lemos um letreiro sem conscientemente decidir lê-lo.III. A ubiquidade computacional diz respeito a dispositivos tecnológicos móveis e ao aumento da capacidade de armazenamento e processamento de tais dispositivos.IV. São necessárias três características para possibilitar a computação ubíqua: computadores acessíveis com baixo consumo de energia com displays práticos, softwares para aplicações ubíquas e uma rede que conecte tudo isso.Está correto apenas o que se afirma em:</t>
  </si>
  <si>
    <t xml:space="preserve"> “Nos dias atuais, com a convergência das tecnologias de rádio, dos microprocessadores e dos dispositivos eletrônicos digitais de uso pessoal, tornou-se possível fazer com que os dispositivos com certo poder de processamento computacional, tanto móveis quanto estacionários, cooperem entre si para fornecer ao usuário acesso instantâneo a novos serviços de forma transparente. Essa característica levou ao surgimento do conceito de ubiquidade na computação”.Fonte: CIRILO, C. E. Computação Ubíqua: definição, princípios e tecnologias. Departamento de Computação – Universidade Federal de São Carlos, n. 9, 2008.Considerando essas informações e o conteúdo estudado sobre computação ubíqua e pervasiva, analise as asserções a seguir e a relação proposta entre elas:I. Funcionalidades computacionais estão disponíveis a qualquer hora e lugar. Dispositivos atuam no ambiente sem a intervenção humana. Neste contexto surgiram os termos “computação ubíqua” e “computação pervasiva”.Porque:II. A evolução tecnológica permitiu que computadores ficassem cada vez menores e cada vez mais poderosos. Com isso, surgiram sensores e outros dispositivos que podem ser embutidos em objetos cotidianos.A seguir, assinale a alternativa correta:</t>
  </si>
  <si>
    <t xml:space="preserve"> “O crescimento dessa modalidade de negócio [empreendedorismo digital] se explica pelos fatores que levam os empreendedores digitais a escolhê-la: a familiaridade com o meio virtual, o custo reduzido de investimento inicial devido à necessidade de menos infraestrutura, a velocidade dos negócios e o dinamismo do mundo virtual, que permite a otimização do tempo e a flexibilidade de horários, sem perder o acesso aos novos mercados.”Fonte: DINO. Empreendedorismo digital: nova modalidade de negócios está presente no Brasil. Terra, 2018. Disponível em: &lt;https://www.terra.com.br/noticias/dino/empreendedorismo-digital-nova-modalidade-de-negocios-esta-presente-no-brasil,a6e2fdc507f91a6f8d0a308001f4d4bc9oimap8p.html&gt;. Acesso em: 12 out. 2020.Considerando essas informações e o conteúdo estudado sobre casos de sucesso de empresas digitais, analise as afirmativas a seguir e assinale V para a(s) verdadeira(s) e F para a(s) falsa(s).I. ( ) Empresas que se apoiam na economia colaborativa intermediam a troca de recursos entre indivíduos.II. ( ) O Airbnb despertou uma nova necessidade do consumidor, que é a de reservar sua hospedagem através da internet.III. ( ) Netflix é uma empresa que já nasceu digital, com foco no streaming de vídeos pela internet.IV. ( ) O Nubank oferece um serviço ao qual já tínhamos acesso, mas que, com o apoio de tecnologias, consegue agregar mais valor para seus jovens consumidores.Agora, assinale a alternativa que apresenta a sequência correta:</t>
  </si>
  <si>
    <t xml:space="preserve"> “O fato é que esse futuro já chegou e a forma das roupas e acessórios não se alterou a ponto de parecermos como os astronautas idealizados no passado (risos). As chamadas wearables technology, ou simplesmente tecnologias vestíveis, já podem ser encontradas em lojas de grandes marcas internacionais a redes de magazine”.Fonte:BÔAS, E. V. 5 tecnologias vestíveis que já são realidade no guarda-roupa. Jornal Estadão, 2017. Disponível em: &lt;https://emais.estadao.com.br/blogs/a-moda-deles/5-tecnologias-vestiveis-que-ja-sao-realidade-no-guarda-roupa/&gt;. Acesso em: 01 ago. 2020.Considerando essas informações e o conteúdo estudado sobre tecnologias vestíveis, analise as afirmativas a seguir:I. Tecnologias vestíveis, em inglês “wearable technologies”, englobam dispositivos eletrônicos que são integrados a roupas ou acessórios que são utilizados pelo usuário.II. Tecnologias vestíveis podem ter funcionalidades parecidas com computadores ou smartphones, mas destacam-se aquelas que têm capacidade de captar informações do usuário e do ambiente a sua volta.III. Desde que tenham embutido algum componente “inteligente”, podem ser exemplos de tecnologias vestíveis: relógios, óculos, lentes de contato, tecidos e até joias.IV. É uma característica das tecnologias vestíveis a ostentação: seus usuários gostam de exibir seus gadgets modernos, mostrando que estão usando a última tecnologia.Está correto apenas o que se afirma em:</t>
  </si>
  <si>
    <t xml:space="preserve"> “O profissional moderno está sofrendo de distúrbio da hiperconexão, mal que, nos Estados Unidos, já foi batizado de “iDisorder”, uma homenagem dúbia ao iPhone. No livro Sleeping with Your Smartphone (“Dormindo com seu smartphone”), Leslie A. Perlow, professora da Harvard Business School, narrou casos de executivos que sofrem de “insônia controlada”, acordando três vezes por noite para checar e-mails.”Fonte: OPPERMANN, Á. O distúrbio da hiperconexão. Época Negócios, 2012. Disponível em: &lt;https://epocanegocios.globo.com/Inteligencia/noticia/2012/08/o-disturbio-da-hiperconexao.html&gt;. Acesso em: 11 out. 2020.Considerando essas informações e o conteúdo estudado sobre os atributos da hiperconectividade, analise as afirmativas a seguir e assinale V para a(s) verdadeira(s) e F para a(s) falsa(s).I. ( ) Na hiperconectividade, o atributo ‘interatividade’ refere-se ao fato de que qualquer indivíduo pode interagir com as informações disponíveis.II. ( ) O atributo ‘facilmente acessível’ refere-se à facilidade que temos em carregar o smartphone para todos os lugares que vamos.III. ( ) O atributo ‘riqueza de informações’ se refere à disponibilidade de informações, conteúdo, canais de busca para qualquer pessoa.IV. ( ) Na hiperconectividade, o atributo ‘não é só sobre pessoas’ refere-se ao fato de que a sociedade atual foca na preservação ambiental.Agora, assinale a alternativa que apresenta a sequência correta:</t>
  </si>
  <si>
    <t xml:space="preserve"> “O relatório [do panorama sobre o desenvolvimento do mercado de tecnologia do Brasil] mostra por que o Brasil se tornou um dos principais polos de inovação e um forte candidato para abrigar mais startups bilionárias nos próximos anos. Com dados obtidos em uma pesquisa quantitativa [...] a consultoria foi capaz de indicar como os investimentos externos em empresas brasileiras cresceram em ritmo exponencial nos últimos anos.”Fonte: LOUREIRO, R. Entenda por que o Brasil se tornou um polo para o crescimento de startups. Exame, 2020. Disponível em: &lt;https://exame.com/tecnologia/entenda-por-que-o-brasil-se-tornou-um-polo-para-o-crescimento-de-startups/&gt;. Acesso em: 12 out. 2020.Considerando estas informações e o conteúdo estudado sobre Startup, analise os 4 conceitos fundamentais para sua definição disponíveis a seguir e os associe a suas respectivas características.1) Cenário de incerteza.2) Modelo de negócio.3) Ser repetível.4) Ser escalável.( ) Capacidade da entrega sistemática de determinado produto ou serviço.( ) Contexto em que uma startup opera.( ) Capacidade de crescer e manter a mesma estrutura e entrega.( ) Resume o valor entregue e como ele é entregue para o consumidor.Agora, assinale a alternativa que apresenta a sequência correta:</t>
  </si>
  <si>
    <t>a) 3, 1, 4, 2</t>
  </si>
  <si>
    <t xml:space="preserve"> “O século XX pautou-se por profundas alterações na estrutura econômica e social. Este foi de facto o século das grandes mutações em que o Homem se viu no limiar de uma nova estrutura, de uma nova forma de pensar e fazer economia. A nova economia, orientada pelos recursos digitais emergentes (como a internet) e resultado da congregação entre a tecnologia e a informação está centrada nas instituições, pessoas e na transferência de informação, métodos, processos e na aprendizagem.”Fonte: FERNANDES, R. J. L.; GAMA, R. Economia Digital e Políticas de Desenvolvimento: uma abordagem territorial. In: Actas do 13º Colóquio da Associação Portuguesa de Desenvolvimento Regional (APDR): “Recriar e Valorizar o Território”. APDR e Universidade dos Açores – Campus de Angra do Heroísmo, 5 a 8 de julho de 2007.Considerando essas informações e o conteúdo estudado sobre tendências tecnológicas, analise as asserções a seguir e a relação entre elas.I. Estamos vivendo a economia digital, visto que todo negócio existente é um negócio digital, ainda que este não seja seu foco.Porque:II. Nós estamos vivendo em uma sociedade em que o modo de viver foi totalmente impactado e modificado pelas novas tecnologias digitais.A seguir assinale a alternativa correta:</t>
  </si>
  <si>
    <t xml:space="preserve"> “Os sistemas de informação gerencial são a forma mais comum de sistemas deinformação gerencial. Eles fornecem aos usuários finais administrativos produtosde informação que apoiam grande parte de suas necessidades de tomada de decisão do dia a dia. Os SIG fornecem uma diversidade de informações pré- especificadas (relatórios) e exibições em vídeo para a administração que podem ser utilizadas para ajudá-los a tomar tipos estruturados mais eficazes de decisões diárias”.Fonte: UPF, Introdução aos Sistemas de Informação nas Empresas, Cap.1, P.17, disponível em &lt;http://usuarios.upf.br/~ricardo/Sig_Cap1_Apostila.pdf &gt; acesso 05 de abril.Considerando essas informações e o conteúdo estudado, analise as afirmativas a seguir e assinale V para a(s) verdadeira(s) e F para a(s) falsa(s). I. ( ) Os sistemas de informação gerenciais são compostos por hardware, softwares e pelos seus usuários.II. ( ) Os sistemas de informação gerenciais estão sempre baseados na coleta de dados para a geração de relatórios III. ( ) Os relatórios gerados pelos sistemas gerenciais são exatos e tendem a compreender os lados de uma situação.IV. ( ) Os sistemas de informação gerenciais são utilizados por uma classe de gestores que operam em um nível intermediário na tomada de decisões.Agora, assinale a alternativa que apresenta a sequência correta:</t>
  </si>
  <si>
    <t>V, V, F, V.</t>
  </si>
  <si>
    <t xml:space="preserve"> “Plataformas e software estão disponibilizados como serviços, sendo estes disponibilizados por ambientes de Computação em Nuvem. Isso tem melhorado a flexibilidade, reduzindo o custo total dos negócios e provendo serviços sob demanda. Muitas empresas já utilizam computação em nuvem para distribuir seus sistemas de software e acredita-se que ocorrerá uma migração constante para estes ambientes.”Fonte: SOUSA, F. R.; MOREIRA, L. O.; MACHADO, J. C. Computação em nuvem: Conceitos, tecnologias, aplicações e desafios. In: Escola Regional de Computação Ceará, Maranhão e Piauí (ERCEMAPI), 2., 2009, Parnaíba, PI, p. 150.Considerando essas informações e o conteúdo estudado sobre computação em nuvem, analise as afirmativas a seguir.I. Computação em nuvem é um tipo de tecnologia que permite que outras tecnologias funcionem bem.II. Na expressão “computação em nuvem”, nuvem se refere à maneira como os dados se aglomeram ao serem armazenados.III. Sobre as vantagens da computação em nuvem, podemos dizer que esta permite que a capacidade computacional seja aprofundada.IV. A computação em nuvem é uma grande aliada da internet das coisas, pois suporta a troca e o processamento rápido de dados.Está correto apenas o que se afirma em:</t>
  </si>
  <si>
    <t xml:space="preserve"> “Podemos considerar que interoperabilidade é a habilidade de dois ou mais sistemas (computadores, meios de comunicação, redes, software e outros componentes de tecnologia da informação) de interagir e de intercambiar dados de acordo com um método definido, de forma a obter os resultados esperados [...]” Fonte: BRASIL, Ministério do Meio Ambiente, disponível em &lt;http://www.mma.gov.br/informma/item/869-interoperabilidade-o-que-%C3%A9&gt; acesso 05 de abril de 2019.Considerando essas informações e o conteúdo estudado sobre o conceito de interoperabilidade, é possível afirmar que:</t>
  </si>
  <si>
    <t>a interoperabilidade visa que os sistemas trabalhem com padrões abertos, a fim de facilitar o processo de união de diversos sistemas.</t>
  </si>
  <si>
    <t xml:space="preserve"> “Quando se fala em casa conectada atualmente não dá para ignorar a Alexa, assistente virtual inteligente [...]. Conectado ao aparelho Echo Dot, um smart speaker, Alexa interage por voz e permite tocar músicas, configurar alarmes, organizar agenda, controlar temperatura, prover informações sobre trânsito e notícias diversas, entre outras coisas. Também é possível fazer ligações com Alexa e, se houver instalação compatível, acender luz, trancar portas, abrir e fechar portão e cortinas.”Fonte: IGTECNOLOGIA. Ter uma casa conectada e inteligente é mais fácil do que se imagina. iG, 2019. Disponível em: &lt;https://tecnologia.ig.com.br/2019-11-12/ter-uma-casa-conectada-e-inteligente-e-mais-facil-do-que-se-imagina.html&gt;. Acesso em: 27 Out, 2020.Considerando essas informações e o conteúdo estudado sobre assistentes digitais, analise as asserções a seguir e a relação entre elas.I. Cientistas já confirmaram que usuários de assistentes digitais tendem a desenvolver um desejo amoroso em relação a seus dispositivos, como em uma relação afetiva entre pessoas.Porque:II. Assistentes digitais podem detectar o estado emocional de seu usuário e adequar a sua linguagem e suas respostas a este estado, incluindo a imitação de entonações verbais de emoções humanas.A seguir, assinale a alternativa correta:</t>
  </si>
  <si>
    <t xml:space="preserve"> “Quase tudo o que é utilizado pelo homem contemporâneo passa por algum processo de industrialização. Transformar uma matéria-prima em um produto mais elaborado faz parte de nossa trajetória desde a Pré-História, quando o homem confeccionava utensílios a partir de pedras e metais.”Fonte: SUPER INTERESSANTE. Indústria. Super Interessante, 2016. Disponível em: &lt;https://super.abril.com.br/historia/industria/&gt;. Acesso em: 29 set. 2020.Considerando essas informações e o conteúdo estudado sobre as Revoluções Industriais, analise as asserções a seguir e a relação entre elas.I. A partir do século 18, iniciou-se uma grande transformação na sociedade com o processo de migração das áreas rurais para as regiões urbanas.Porque: II. No início do século 18, teve início a primeira revolução industrial na Inglaterra e, com o aumento da mecanização e produtividade, trabalhos artesanais perderam seu valor.A seguir assinale a alternativa correta:</t>
  </si>
  <si>
    <t>a) As asserções I e II são proposições verdadeiras, e a II é uma justificativa correta da I.
b)
c) 
d) 
e)</t>
  </si>
  <si>
    <t xml:space="preserve"> “Segundo o Gartner, em 2020 já serão 25 bilhões de objetos conectados à internet – um crescimento exponencial sobre os 4,8 bilhões de 2015. De acordo com a consultoria, a tendência é que a internet das coisas esteja cada vez mais presente na vida de todos – e, espera-se, com resultados positivos”.Fonte: ÉPOCA NEGÓCIOS ONLINE. Conheça 6 aplicações da internet das coisas que já estão tornando o mundo melhor. Revista Época Negócios, 2019. Disponível em: &lt;https://epocanegocios.globo.com/Tecnologia/noticia/2019/03/conheca-6-aplicacoes-da-internet-das-coisas-que-ja-estao-tornando-o-mundo-melhor.html&gt;. Acesso em: 02 ago. 2020.Considerando o trecho acima e o conteúdo estudado sobre arquitetura da Internet das Coisas, analise as afirmativas a seguir e assinale V para a(s) verdadeira(s) e F para a (s) falsa(s):I. ( ) A habilidade de comunicação dos dispositivos da IoT envolve a interação não só com outros objetos, mas também com a natureza.II. ( ) As coisas da IoT possuem sensores e atuadores embutidos. Isso permite que, ao mesmo tempo em que percebem a necessidade de algum ajuste, realizem este ajuste.III. ( ) As capacidades da IoT criam oportunidades de criação de novos ou melhores produtos e serviços para consumidores.IV. ( ) Apesar de ter grande potencial para o consumidor, as empresas devem evitar adotar dispositivos da IoT pela ameaça à segurança de dados. Agora, assinale a alternativa que apresenta a sequência correta:</t>
  </si>
  <si>
    <t>F, V, V, F.</t>
  </si>
  <si>
    <t xml:space="preserve"> “Sete em cada 10 brasileiros acessam a Internet, garante pesquisa da Telebrasil divulgada nesta semana. O cenário atual reforça a era da conectividade e demonstra que o acesso à web tem se tornado cada vez mais democrático. Ao todo, são 127 milhões de internautas conectados no país, o que corresponde a um aumento de 37% em comparação aos últimos cinco anos.”Fonte: CONSUMIDOR MODERNO. 97% dos brasileiros acessam a Internet pelo smartphone. Revista Consumidor Moderno, 2019. Disponível em: &lt;https://www.consumidormoderno.com.br/2019/08/28/brasileiros-internet-smartphone/&gt;. Acesso em: 25 jun. 2020.Considerando essas informações e o conteúdo estudado sobre tecnologias móveis e seus impactos na sociedade, está correto apenas o que se afirma em:</t>
  </si>
  <si>
    <t>Tecnologia móvel é toda tecnologia que permite seu funcionamento ao mesmo tempo em que o usuário se movimenta.</t>
  </si>
  <si>
    <t xml:space="preserve"> “Substituir papéis e processos manuais por processos eletrônicos pode levar asempresas a economizar tempo, esforço e dinheiro. E é aqui que entram os sistemas de informações, mais precisamente a internet, e suas possibilidades de uso. Sabemos que a internet tem revolucionado muitos aspectos da vida dos negócios. O uso de recursos e ferramentas on-line podem trazer vantagenscompetitivas para as empresas. Nesse sentido, o e-business é o principal meiode aplicação das tecnologias de informação para o alcance de alguns dosobjetivos das empresas.Fonte: Wakulicz, Gilmar Jorge, Sistemas de Informações Gerenciais, Colégio Politécnico UFSM, Santa Maria – RS, 2016, disponível em &lt;http://estudio01.proj.ufsm.br/cadernos_cooperativismo/quinta_etapa/arte_sistemas_informacoes_gerenciais.pdf &gt; acesso 05 de abril de 2019.Considerando a afirmação acima podemos afirmar que:</t>
  </si>
  <si>
    <t>E-business é o uso de ferramentas tecnológicas que visam apoio as instituições por meio da internet.</t>
  </si>
  <si>
    <t xml:space="preserve"> “Trata-se de uma ciência complexa, mas que, se dominada, pode aumentar vertiginosamente a capacidade de processamento de computadores. Quanto mais qubits, pelo menos na teoria, mais potente é o computador. Um chip quântico com 65 qubits, como o da IBM, tem capacidade de processar 265 (um número com 65 zeros) combinações ao mesmo tempo. A ideia dos cientistas é que, no futuro, essas máquinas sejam capazes de fazer cálculos complexos, e permitir avanços nas áreas de criptografia e Machine Learning, por exemplo.”Fonte: ELER, G. IBM quer construir computador quântico de 1.000 qubits até 2023. Super Interessante, 2020. Disponível em: &lt;https://super.abril.com.br/tecnologia/ibm-quer-construir-computador-quantico-de-1-000-qubits-ate-2023/&gt;. Acesso em: 12 out. 2020.Considerando essas informações e o conteúdo estudado sobre supercomputação, está correto afirmar que:</t>
  </si>
  <si>
    <t>agilidade nos negócios é um dos valores da supercomputação, pois faz com que mudanças e novos projetos aconteçam mais rapidamente.</t>
  </si>
  <si>
    <t xml:space="preserve"> “Três máquinas brasileiras entraram para a lista dos TOP 500 supercomputadores do mundo. [...] O Santos Dumont pertence ao Laboratório Nacional de Computação Científica (LNCC), em Petrópolis, no Rio de Janeiro, e tem capacidade de processamento total de aproximadamente 5,1 quatrilhões de operações por segundo. Em 2019, recebeu uma atualização, aumentando sua capacidade em mais de três vezes.”Fonte: ÉPOCA NEGÓCIOS. Brasil tem três dos 500 supercomputadores do mundo. Época Negócios, 2020. Disponível em: &lt;https://epocanegocios.globo.com/Tecnologia/noticia/2020/02/brasil-tem-tres-dos-500-supercomputadores-do-mundo.html?status=500&gt;. Acesso em: 11 out. 2020.Considerando essas informações e o conteúdo estudado sobre supercomputação, analise as afirmativas a seguir:I. Supercomputação diz respeito a um sistema de computadores que é capaz de performar em um alto nível operacional. II. Supercomputadores são utilizados em operações que utilizam muitos dados e/ou requerem processamento muito rápido. III. Supercomputadores estão disponíveis para o consumidor final, que é o profissional em videogames. IV. Programas de modelagem 3D de alta definição e que simulam plantas de produção são exemplos que requerem um supercomputado para performar.Está correto apenas o que se afirma em:</t>
  </si>
  <si>
    <t xml:space="preserve"> “Um cenário computacional que está se consolidando como o ambiente computacional do futuro é a Computação Pervasiva. Nesta visão, o poder computacional está sempre disponível, se encontra em qualquer lugar, a todo momento e é acessível com qualquer dispositivo”.Fonte:PIRES, R. P.; REDIN, R. M.; BELUSSO, R. C.; AUGUSTIN, I. Comunicação entre Componentes da Aplicação em Ambiente Pervasivo. VIII Fórum de tecnologias e XV Seminário Regional de Informática, Santo Ângelo, Brasil, 2005.Considerando essas informações e o conteúdo estudado sobre computação ubíqua e pervasiva, analise os quatro paradigmas da computação pervasiva a seguir e associe-os com suas respectivas explicações: 1) Descentralização.2) Diversificação.3) Conectividade.4) Simplicidade.( ) A troca de informações entre diferentes dispositivos via rede, seja via bluetooth, wi-fi, infravermelho etc.( ) Distribuição de responsabilidades entre diversos dispositivos. ( ) A utilização dos dispositivos deve ser intuitiva e amigável, sem demandar muito tempo e foco do usuário.( ) Utilização de diferentes dispositivos destinados a tarefas específicas.Agora, assinale a alternativa que apresenta a sequência correta:</t>
  </si>
  <si>
    <t>3, 1, 4, 2.</t>
  </si>
  <si>
    <t xml:space="preserve"> “Você pode não perceber, mas compartilha informações pessoais o tempo todo na internet. Aplicativos de celular, câmeras de monitoramento, carros inteligentes e sensores em pontos de ônibus recolhem dados, enviam por redes móveis para a nuvem, cruzam as informações e chegam a resultados que podem melhorar a qualidade de vida da população, como otimizar o transporte público da sua cidade. São essas ações que formam a chamada Internet das Coisas”.Fonte: ABRIL BRANDED CONTENT. Entenda o que é a Internet das Coisas. Revista Exame, 2017. Disponível em:&lt; https://exame.com/tecnologia/entenda-o-que-e-a-internet-das-coisas/&gt;. Acesso em: 02 ago. 2020.Considerando essas informações e o conteúdo estudado sobre Internet das Coisas, analise as afirmativas a seguir sobre as características dessas “coisas”.I. São dispositivos eletrônicos capazes de comunicarem entre si.II. São pontos de distribuição de internet.III. São capazes de ler o ambiente em que estão.IV. Reagem instantaneamente, sem armazenar reações anteriores.V. Precisam da intervenção humana para agir.Está correto apenas o que se afirma em:</t>
  </si>
  <si>
    <t xml:space="preserve"> Os Sistemas de Processamento Transacionais “[...]concentram-se no processamento de dados produzidos por transações e operações empresariais. Os sistemas de processamento de transações registram e processam dados resultantes de transações empresariais (vendas, compras, alterações de estoque). [...] também produzem uma diversidade de produtos de informação para uso interno e externo (declarações de clientes, salários de funcionários, recibos de vendas, etc).” Fonte: UPF, Introdução aos Sistemas de Informação nas Empresas, Cap.1, P.16, disponível em &lt;http://usuarios.upf.br/~ricardo/Sig_Cap1_Apostila.pdf&gt; acesso 05 de abril.Considerando essas informações e o conteúdo estudado sobre o conceito de SPT, podemos afirmar que esse tipo de sistema pode ser inserido nos seguintes departamentos:</t>
  </si>
  <si>
    <t>Em departamentos com necessidades de controle de transações.</t>
  </si>
  <si>
    <t>Nenhuma organização funciona sem seu principal ator, o cliente. A busca por compreender o cliente, suas necessidades, desejos e a demanda de mercado vem sendo um grande desafio para as organizações. Sem nenhuma dúvida, o uso otimizado dos dados pode ser de fato determinantes para a vida do negócio. Compreender como o cliente se comporta e como ele utiliza os produtos e serviços podem projetar a empresa para um formato ativo na produção das vendas. Considerando essas informações e o conteúdo estudado, podemos afirmar que os seguintes sistemas de informação possibilitam esse contato mais próximo com o cliente, e, consequentemente, auxiliam nas tomadas de decisões com o foco em vendas:</t>
  </si>
  <si>
    <t>Sistemas de Database Marketing.</t>
  </si>
  <si>
    <t>O conceito de códigos binários sendo aplicados à mecânica e eletrônica foi desenvolvido no século XVIII. Os binários foram utilizados para medir a carga de uma corrente elétrica e sua intensidade.Como podemos ver no diagrama acima, temos 4 possibilidades para determinar a intensidade de uma carga. Considerando essas informações e o conteúdo estudado, pode-se afirmar que o nome do inventor da estrutura lógica citada acima é:</t>
  </si>
  <si>
    <t>George Boole.</t>
  </si>
  <si>
    <t>O termo “bug” é utilizado corriqueiramente pelos profissionais de informática para determinar que algo deu errado com os programas ou sistemas. A primeira vez que esse termo foi documentado foi quando um inseto entrou em um computador em desenvolvimento e não permitiu que o fluxo de dados fosse processado. A doutora Grace Hopper, após minuciosa procura, encontrou o inseto e documentou em seu diário.Considerando essas informações e o conteúdo estudado, pode-se afirmar que o computador que teve o primeiro bug registrado foi o:</t>
  </si>
  <si>
    <t>MARK II.</t>
  </si>
  <si>
    <t>O termo “peopleware” é utilizado para especificar as pessoas ou usuários que trabalham diretamente com os computadores. Existem diversos profissionais que trabalham diariamente com os computadores. Dentre os usuários de computadores, existe um em específico que é especialista em analisar jogos e programas e descobrir erros ou melhorias a serem inseridas. Considerando essas informações e o conteúdo estudado, pode-se afirmar que o nome desse profissional é:</t>
  </si>
  <si>
    <t>Tester.</t>
  </si>
  <si>
    <t>O transistor de silício foi uma das grandes invenções do campo da eletrônica. A ideia de substituir a válvula por um transistor permitiu a diminuição do tamanho dos computadores. A ideia de criar uma rede de transistores tornou o processamento de dados algo mais prático e mais assertivo. Considerando essas informações e o conteúdo estudado, pode-se afirmar que essa tecnologia foi criada John Bardeen e Walter Houser Brattain em 1947 em associação à:</t>
  </si>
  <si>
    <t>Bell Laboratories.</t>
  </si>
  <si>
    <t>Os computadores digitais seguem uma arquitetura que foi desenvolvida em plena segunda guerra mundial por um matemático húngaro. Esse matemático compreendeu que a arquitetura assertiva para os computadores seria manter uma unidade de armazenamento (memória), uma central de processamento de dados (CPU) e dispositivos que pudessem entrar com os dados e sair com os dados (Dispositivos E/S). Esse modelo tem sido utilizado na construção de todos os computadores desde então. Considerando essas informações e o conteúdo estudado, pode-se afirmar que o nome desse matemático é:</t>
  </si>
  <si>
    <t>John Von Neumann.</t>
  </si>
  <si>
    <t>Os computadores são equipamentos eletrônicos que têm capacidade de processar um grande volume de dados e transformá-los em informação. Sua composição eletrônica é formada por diversos dispositivos físicos, que chamamos de hardwares; já seus programas ou parte lógica, chamamos de softwares. Ambos trabalham em conjunto para o funcionamento de um sistema computacional. Considerando essas informações e o conteúdo estudado, pode-se afirmar que:</t>
  </si>
  <si>
    <t>o computador sempre trabalhará para resolver um dilema simples, que é transformar dados em informação de forma organizada e ordenada.</t>
  </si>
  <si>
    <t>Os princípios da segurança da informação são relacionados à: (i) confidencialidade, que é a garantia de que apenas usuários autenticados possam acessar as informações; (ii) integridade, que é a garantia de que a informação não será alterada entre a transmissão e a recepção; (iii) autenticidade, garantia de que os dados são autênticos; (v) disponibilidade, garantia de que a informação estará sempre disponível e (vi) conformidade, garantia de que a informação segueleis e regulamentos relacionados ao seguimento.Além desses itens, o não repúdio faz parte dos princípios da segurança da informação. Considerando esses dados e o conteúdo estudado, podemos afirmar que o não repúdio se refere a:</t>
  </si>
  <si>
    <t>não permitir que as pessoas possam repudiar ações afirmando que não eram elas que utilizaram o sistema ou estavam em um lugar.</t>
  </si>
  <si>
    <t>Os serviços da internet chamam cada vez mais a atenção. Atualmente, diversos sistemas já estão sendo atrelados à internet, o que permite que empresas de pequeno, médio e até mesmo grande porte, possam usufruir de serviços simples, como robôs de busca, e-mail, mensageiros instantâneos ou até mesmo a promoção do negócio através de sites e redes sociais. Porém, neste meio, os serviços que tem ganhado destaque são os serviços de nuvem (cloud). O conceito de Cloud Computing traz a ideia de armazenar dados em servidores ociosos pelo mundo através da internet. Considerando isso e o conteúdo estudado, pode-se dividir os serviços de cloud em 3 partes, são elas:</t>
  </si>
  <si>
    <t>IaaS, PaaS e SaaS.</t>
  </si>
  <si>
    <t>Os sistemas de informação gerencial usam como sua principal base o uso dos dados para geração de relatórios, memorando e informações, entende-se que:“Os dados devem ser compreendidos como algo a mais do que simples matéria-prima dos sistemas de informação. Devem ser entendidos como recursos de dados devendo ser administrados para beneficiar todos os usuários finais de uma organização. [...]”Fonte: WAKULICZ, Gilmar Jorge, Sistemas de Informações Gerenciais, Colégio Politécnico UFSM, Santa Maria – RS, 2016, disponível em &lt;http://estudio01.proj.ufsm.br/cadernos_cooperativismo/quinta_etapa/arte_sistemas_informacoes_gerenciais.pdf&gt; acesso 05 de abril de 2019.Considerando a importância dos dados e compreendendo a função dos Sistemas Informações Gerenciais, podemos afirmar que o foco dos SIG’s são as:</t>
  </si>
  <si>
    <t>coleta de dados para emissão de relatórios.</t>
  </si>
  <si>
    <t>Os sistemas de informação podem ser classificados em nível hierárquico e nível organizacional. Quando focamos no nível organizacional, podemos destacar os departamentos que compõem uma empresa como usuários dos sistemas. A organização tende a adequar os sistemas aos seus processos, visando reduzir custos, aumentar os lucros e controlar as informações. Sobre o controle de processos, podemos afirmar que um tipo de sistema de informação é mais adequado para as operações organizacionais de rotina do dia a dia. Considerando essas informações e o conteúdo estudado, podemos afirmar que estamos falando do seguinte tipo de sistema:</t>
  </si>
  <si>
    <t>SIT.</t>
  </si>
  <si>
    <t>Os sistemas de informação são ferramentas importantes para o desenvolvimento de uma organização, porém as informações gerenciadas precisam de qualidade para serem relevantes. Qualificar uma informação geralmente é o grande desafio dos sistemas, a ideia central seria agregar informações relevantes e registrar informações que podem ser relevantes em algum momento da vida da empresa. Dentre as características da qualidade de informação a seguir, pode-se afirmar que as essenciais são:</t>
  </si>
  <si>
    <t>Confiabilidade, Precisão, Objetividade, Clareza, Acessibilidade e Segurança.</t>
  </si>
  <si>
    <t>Os sistemas de informação, apesar de serem organismos complexos e essenciais para as organizações, apresentam um tempo de vida limitado, sendo que teóricos observam os sistemas em um ciclo de vida que é dividido em pelo menos 8 fases: concepção, construção, implementações, maturidade, declínio, manutenção, declínio e morte.Considerando essas informações e o conteúdo estudado, podemos afirmar, sobre a fase de manutenção, que:</t>
  </si>
  <si>
    <t>a manutenção é uma tentativa de manter o sistema na fase de maturidade, evitando o declínio, sendo considerada o recurso base para a continuidade de vida do sistema.</t>
  </si>
  <si>
    <t>Os sistemas operacionais (S.O) são um conjunto de programas que possibilitam o funcionamento dos computadores. Sabemos que sua composição deve possuir uma interface gráfica para os usuários e permitir instalação de aplicativos, drivers e programas. Também é necessário que ele crie um depositório de arquivos e pastas e que seja capaz de enviar e receber dados. Considerando essas informações e o conteúdo estudado, pode-se afirmar que os sistemas que são utilizados por um único usuário por vez são chamados de sistema:</t>
  </si>
  <si>
    <t>monousuário.</t>
  </si>
  <si>
    <t>Os Sistemas RPA (Robotic Process Automation) permitem automatizar processos comerciais repetitivos e baseados em regras. Esses processos podem ser robotizados a fim de continuamente executarem tarefas e, assim, poupar tempo. Para exemplificar, o RPA pode ser usado para enviar 1000 e-mails personalizados com informações distintas para diversos clientes em questão de segundos. Dessa forma, os usuários podem se dedicar às tarefas de maior valor estratégico para o negócio. Considerando essa afirmação e o conteúdo estudado, podemos afirmar que:</t>
  </si>
  <si>
    <t>RPA é uma tecnologia de robotização de automatização de processos repetitivos que visa otimizar o tempo das tarefas.</t>
  </si>
  <si>
    <t>Os softwares são todos os elementos que fazem parte da programação e que funcionam dentro da estrutura física do computador (hardware). Assim, podemos entender que qualquer programa de computador é um software.A partir dessa definição e dos conteúdos estudados, selecione a alternativa que explica qual é a composição básica em que um software geralmente é formado.</t>
  </si>
  <si>
    <t>Um software é composto por funções, bibliotecas e módulos que permitem receber dados, processar dados e obter resultados.</t>
  </si>
  <si>
    <t>Para a criação de programas, é necessário sintaxe lógica de códigos de programação e um programa que transforme as informações de linguagem humana para as linguagens de máquina; esses programas são utilizados para a edição de códigos e, ao final, para esta transformação. Considerando essas informações e o conteúdo estudado, podemos afirmar que esses programas que permitem a criação de outros programas são chamados de:</t>
  </si>
  <si>
    <t>Compiladores.</t>
  </si>
  <si>
    <t>Para estruturar um sistema que seja rápido, eficiente, os programadores utilizam de códigos de programação que visam alcançar objetivos utilizando o menor espaço possível de memória do computador. Para as linguagens de programação de alto nível, podemos entender que esse conceito é implícito, pois a qualidade do programa vai depender da qualidade de seu código. Considerando essas informações e o conteúdo estudado, podemos afirmar que a seguinte linguagem é de alto nível:</t>
  </si>
  <si>
    <t>Python.</t>
  </si>
  <si>
    <t>Quando falamos sobre produto, existe um sistema que tem resolvido diversas questões referentes à qualidade e à produção. Esse sistema mede o ciclo de vida dos produtos e acompanha cada etapa de sua vida, desde sua concepção até sua venda. Esses sistemas apresentam uma solução completa visando melhorias contínuas, inovações e maximizando as vendas.Considerando essas informações e o conteúdo estudado, podemos afirmar que o sistema de informação que tem essas características é o:</t>
  </si>
  <si>
    <t>PLM.</t>
  </si>
  <si>
    <t>Sabemos que as estruturas tecnológicas são formadas por 2 componentes fundamentais: hardware e softwares. A concepção de que o hardware depende do software é um conceito antigo que vem sendo trabalhado ao longo das décadas. Entendemos que cada circuito eletrônico depende de um programa no nível de código para executar comandos e criar componentes, chamamos de linguagem de baixo nível as linguagens de programação que têm condição de operar no nível do hardware. Considerando essas informações e o conteúdo estudado, pode-se afirmar que a seguinte linguagem é de baixo nível:</t>
  </si>
  <si>
    <t>Assembly.</t>
  </si>
  <si>
    <t>Sabemos que hardware é a parte física dos computadores, podemos dividir os hardwares em pelo menos 3 tipos: dispositivos de entrada de dados, dispositivos de saída de dados e dispositivos mistos. Os dispositivos de entrada permitem que os usuários entrem com os dados no computador, já os dispositivos de saída permitem que o usuário retire os dados processados em formato de informação. Sobre os dispositivos mistos, podemos afirmar que eles têm capacidade de fazer as duas coisas. A seguir, considerando essas informações e o conteúdo estudado, assinale a alternativa que cita o dispositivo que tem características de um dispositivo de saída.</t>
  </si>
  <si>
    <t>Impressora.</t>
  </si>
  <si>
    <t>Sabemos que o comércio na internet tem ganhado uma grande força nos últimos anos; dentre as facilidades que a internet nos traz, temos a garantia de que os produtos serão entregues de forma rápida e muitas vezes com preço mais acessível. Além de usuários comuns, as empresas também têm procurado fazer suas compras através de sistemas que atendam suas demandas. O conceito de Business-to-Busines (B2B) pode ganhar força quando sistemas especializados nesse mercado são utilizados. Considerando essas informações e o conteúdo estudado, podemos afirmar que o sistema que tem essas características é o:</t>
  </si>
  <si>
    <t>E-Procurement.</t>
  </si>
  <si>
    <t>Sistemas de informação são programas que têm tarefas específicas com partes interdependentes que visam alcançar um objetivo. Sabemos que os sistemas de informação são fundamentais para o sucesso das organizações. Sua composição depende das necessidades da empresa. Considerando essas informações e o conteúdo estudado, podemos afirmar que o recurso principal para se criar um sistema é/são:</t>
  </si>
  <si>
    <t>Códigos de Programação.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</si>
</sst>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0"/>
      <color theme="1"/>
      <name val="Calibri"/>
      <family val="2"/>
      <scheme val="minor"/>
    </font>
    <font>
      <b/>
      <sz val="11"/>
      <color theme="1"/>
      <name val="Calibri"/>
      <family val="2"/>
      <scheme val="minor"/>
    </font>
    <font>
      <sz val="11"/>
      <color theme="1" tint="0.249977111117893"/>
      <name val="Calibri"/>
      <family val="2"/>
      <scheme val="minor"/>
    </font>
    <font>
      <b/>
      <i/>
      <sz val="11"/>
      <color theme="1"/>
      <name val="Calibri"/>
      <family val="2"/>
      <scheme val="minor"/>
    </font>
    <font>
      <b/>
      <sz val="12"/>
      <color rgb="FFFFFF00"/>
      <name val="Calibri"/>
      <family val="2"/>
      <scheme val="minor"/>
    </font>
    <font>
      <i/>
      <sz val="11"/>
      <color theme="1"/>
      <name val="Calibri"/>
      <family val="2"/>
      <scheme val="minor"/>
    </font>
    <font>
      <sz val="8"/>
      <name val="Calibri"/>
      <family val="2"/>
      <scheme val="minor"/>
    </font>
    <font>
      <sz val="11"/>
      <color theme="0"/>
      <name val="Calibri"/>
      <family val="2"/>
      <scheme val="minor"/>
    </font>
    <font>
      <sz val="8"/>
      <color theme="3" tint="0.79998168889431442"/>
      <name val="Calibri"/>
      <family val="2"/>
      <scheme val="minor"/>
    </font>
    <font>
      <sz val="8"/>
      <color theme="4" tint="0.59999389629810485"/>
      <name val="Calibri"/>
      <family val="2"/>
      <scheme val="minor"/>
    </font>
    <font>
      <b/>
      <i/>
      <sz val="9"/>
      <color rgb="FFFFC000"/>
      <name val="Arial"/>
      <family val="2"/>
    </font>
    <font>
      <b/>
      <i/>
      <sz val="8"/>
      <color theme="0"/>
      <name val="Arial"/>
      <family val="2"/>
    </font>
    <font>
      <sz val="11"/>
      <color theme="7"/>
      <name val="Calibri"/>
      <family val="2"/>
      <scheme val="minor"/>
    </font>
    <font>
      <sz val="12"/>
      <color rgb="FF0A0A23"/>
      <name val="Roboto"/>
    </font>
    <font>
      <b/>
      <sz val="11"/>
      <color rgb="FF000000"/>
      <name val="Calibri"/>
      <family val="2"/>
    </font>
    <font>
      <sz val="11"/>
      <color rgb="FF262626"/>
      <name val="Calibri"/>
      <family val="2"/>
      <scheme val="minor"/>
    </font>
  </fonts>
  <fills count="10">
    <fill>
      <patternFill patternType="none"/>
    </fill>
    <fill>
      <patternFill patternType="gray125"/>
    </fill>
    <fill>
      <patternFill patternType="solid">
        <fgColor theme="1"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3"/>
        <bgColor indexed="64"/>
      </patternFill>
    </fill>
  </fills>
  <borders count="34">
    <border>
      <left/>
      <right/>
      <top/>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style="medium">
        <color theme="3" tint="0.79998168889431442"/>
      </left>
      <right/>
      <top style="medium">
        <color theme="3" tint="0.79998168889431442"/>
      </top>
      <bottom/>
      <diagonal/>
    </border>
    <border>
      <left/>
      <right/>
      <top style="medium">
        <color theme="3" tint="0.79998168889431442"/>
      </top>
      <bottom/>
      <diagonal/>
    </border>
    <border>
      <left/>
      <right style="medium">
        <color theme="3" tint="0.79998168889431442"/>
      </right>
      <top style="medium">
        <color theme="3" tint="0.79998168889431442"/>
      </top>
      <bottom/>
      <diagonal/>
    </border>
    <border>
      <left style="medium">
        <color theme="3" tint="0.79998168889431442"/>
      </left>
      <right/>
      <top/>
      <bottom style="medium">
        <color theme="3" tint="0.79998168889431442"/>
      </bottom>
      <diagonal/>
    </border>
    <border>
      <left/>
      <right/>
      <top/>
      <bottom style="medium">
        <color theme="3" tint="0.79998168889431442"/>
      </bottom>
      <diagonal/>
    </border>
    <border>
      <left/>
      <right style="medium">
        <color theme="3" tint="0.79998168889431442"/>
      </right>
      <top/>
      <bottom style="medium">
        <color theme="3" tint="0.79998168889431442"/>
      </bottom>
      <diagonal/>
    </border>
    <border>
      <left style="hair">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medium">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hair">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medium">
        <color theme="3" tint="0.79998168889431442"/>
      </right>
      <top style="hair">
        <color theme="3" tint="0.79998168889431442"/>
      </top>
      <bottom style="medium">
        <color theme="3" tint="0.7999816888943144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bottom style="medium">
        <color theme="5" tint="-0.499984740745262"/>
      </bottom>
      <diagonal/>
    </border>
    <border>
      <left style="medium">
        <color theme="2" tint="-9.9978637043366805E-2"/>
      </left>
      <right/>
      <top/>
      <bottom/>
      <diagonal/>
    </border>
    <border>
      <left style="medium">
        <color theme="2" tint="-9.9978637043366805E-2"/>
      </left>
      <right/>
      <top/>
      <bottom style="medium">
        <color theme="2" tint="-9.9978637043366805E-2"/>
      </bottom>
      <diagonal/>
    </border>
    <border>
      <left/>
      <right/>
      <top/>
      <bottom style="medium">
        <color theme="2" tint="-9.9978637043366805E-2"/>
      </bottom>
      <diagonal/>
    </border>
    <border>
      <left style="medium">
        <color theme="2" tint="-9.9978637043366805E-2"/>
      </left>
      <right/>
      <top style="medium">
        <color theme="2" tint="-9.9978637043366805E-2"/>
      </top>
      <bottom style="medium">
        <color theme="2" tint="-9.9978637043366805E-2"/>
      </bottom>
      <diagonal/>
    </border>
    <border>
      <left/>
      <right style="medium">
        <color theme="2" tint="-9.9978637043366805E-2"/>
      </right>
      <top style="medium">
        <color theme="2" tint="-9.9978637043366805E-2"/>
      </top>
      <bottom style="medium">
        <color theme="2" tint="-9.9978637043366805E-2"/>
      </bottom>
      <diagonal/>
    </border>
    <border>
      <left/>
      <right style="medium">
        <color theme="2" tint="-9.9978637043366805E-2"/>
      </right>
      <top/>
      <bottom/>
      <diagonal/>
    </border>
    <border>
      <left/>
      <right style="medium">
        <color theme="2" tint="-9.9978637043366805E-2"/>
      </right>
      <top/>
      <bottom style="medium">
        <color theme="2" tint="-9.9978637043366805E-2"/>
      </bottom>
      <diagonal/>
    </border>
    <border>
      <left style="medium">
        <color theme="2" tint="-9.9978637043366805E-2"/>
      </left>
      <right/>
      <top style="medium">
        <color theme="2" tint="-9.9978637043366805E-2"/>
      </top>
      <bottom/>
      <diagonal/>
    </border>
    <border>
      <left/>
      <right/>
      <top style="medium">
        <color theme="2" tint="-9.9978637043366805E-2"/>
      </top>
      <bottom/>
      <diagonal/>
    </border>
    <border>
      <left/>
      <right style="medium">
        <color theme="2" tint="-9.9978637043366805E-2"/>
      </right>
      <top style="medium">
        <color theme="2" tint="-9.9978637043366805E-2"/>
      </top>
      <bottom/>
      <diagonal/>
    </border>
  </borders>
  <cellStyleXfs count="1">
    <xf numFmtId="0" fontId="0" fillId="0" borderId="0"/>
  </cellStyleXfs>
  <cellXfs count="59">
    <xf numFmtId="0" fontId="0" fillId="0" borderId="0" xfId="0"/>
    <xf numFmtId="0" fontId="0" fillId="2" borderId="0" xfId="0" applyFill="1"/>
    <xf numFmtId="0" fontId="0" fillId="0" borderId="0" xfId="0" applyAlignment="1">
      <alignment vertical="center"/>
    </xf>
    <xf numFmtId="0" fontId="0" fillId="0" borderId="17" xfId="0" applyBorder="1" applyAlignment="1">
      <alignment horizontal="left" vertical="center"/>
    </xf>
    <xf numFmtId="0" fontId="0" fillId="0" borderId="19" xfId="0" applyBorder="1" applyAlignment="1">
      <alignment horizontal="left" vertical="center"/>
    </xf>
    <xf numFmtId="0" fontId="2" fillId="4" borderId="0" xfId="0" applyFont="1" applyFill="1" applyAlignment="1">
      <alignment horizontal="center" vertical="center"/>
    </xf>
    <xf numFmtId="0" fontId="0" fillId="0" borderId="15" xfId="0" applyBorder="1" applyAlignment="1">
      <alignment horizontal="left" vertical="center" indent="1"/>
    </xf>
    <xf numFmtId="0" fontId="0" fillId="0" borderId="20" xfId="0" applyBorder="1" applyAlignment="1">
      <alignment horizontal="left" vertical="center" indent="1"/>
    </xf>
    <xf numFmtId="0" fontId="0" fillId="0" borderId="16" xfId="0" applyBorder="1" applyAlignment="1">
      <alignment horizontal="left" vertical="center" indent="1"/>
    </xf>
    <xf numFmtId="0" fontId="0" fillId="0" borderId="18" xfId="0" applyBorder="1" applyAlignment="1">
      <alignment horizontal="left" vertical="center" indent="1"/>
    </xf>
    <xf numFmtId="0" fontId="0" fillId="0" borderId="21" xfId="0" applyBorder="1" applyAlignment="1">
      <alignment horizontal="left" vertical="center" indent="1"/>
    </xf>
    <xf numFmtId="0" fontId="3" fillId="0" borderId="15" xfId="0" applyFont="1" applyBorder="1"/>
    <xf numFmtId="0" fontId="5" fillId="2" borderId="22" xfId="0" applyFont="1" applyFill="1" applyBorder="1" applyAlignment="1">
      <alignment horizontal="center" vertical="center"/>
    </xf>
    <xf numFmtId="0" fontId="4" fillId="0" borderId="9" xfId="0" applyFont="1" applyBorder="1" applyAlignment="1">
      <alignment horizontal="center" vertical="center"/>
    </xf>
    <xf numFmtId="0" fontId="4" fillId="0" borderId="12" xfId="0" applyFont="1" applyBorder="1" applyAlignment="1">
      <alignment horizontal="center" vertical="center"/>
    </xf>
    <xf numFmtId="0" fontId="0" fillId="0" borderId="23" xfId="0" applyBorder="1" applyAlignment="1">
      <alignment horizontal="center" vertical="center"/>
    </xf>
    <xf numFmtId="0" fontId="0" fillId="2" borderId="0" xfId="0" applyFill="1" applyProtection="1">
      <protection hidden="1"/>
    </xf>
    <xf numFmtId="0" fontId="9" fillId="0" borderId="0" xfId="0" applyFont="1"/>
    <xf numFmtId="0" fontId="10" fillId="0" borderId="0" xfId="0" applyFont="1"/>
    <xf numFmtId="0" fontId="0" fillId="0" borderId="24" xfId="0" applyBorder="1" applyAlignment="1">
      <alignment vertical="center"/>
    </xf>
    <xf numFmtId="0" fontId="0" fillId="0" borderId="25" xfId="0" applyBorder="1" applyAlignment="1">
      <alignment vertical="center"/>
    </xf>
    <xf numFmtId="0" fontId="0" fillId="0" borderId="27" xfId="0" applyBorder="1" applyAlignment="1">
      <alignment vertical="center"/>
    </xf>
    <xf numFmtId="0" fontId="0" fillId="0" borderId="28" xfId="0" applyBorder="1" applyAlignment="1">
      <alignment vertical="center"/>
    </xf>
    <xf numFmtId="0" fontId="0" fillId="0" borderId="29" xfId="0" applyBorder="1" applyAlignment="1">
      <alignment vertical="center"/>
    </xf>
    <xf numFmtId="0" fontId="0" fillId="0" borderId="30" xfId="0" applyBorder="1" applyAlignment="1">
      <alignment vertical="center"/>
    </xf>
    <xf numFmtId="0" fontId="11" fillId="7" borderId="0" xfId="0" applyFont="1" applyFill="1" applyAlignment="1" applyProtection="1">
      <alignment horizontal="center" vertical="center"/>
      <protection locked="0" hidden="1"/>
    </xf>
    <xf numFmtId="0" fontId="0" fillId="0" borderId="31" xfId="0" applyBorder="1"/>
    <xf numFmtId="0" fontId="0" fillId="0" borderId="32" xfId="0" applyBorder="1"/>
    <xf numFmtId="0" fontId="0" fillId="0" borderId="33" xfId="0" applyBorder="1"/>
    <xf numFmtId="0" fontId="0" fillId="0" borderId="24" xfId="0" applyBorder="1"/>
    <xf numFmtId="0" fontId="0" fillId="0" borderId="29" xfId="0" applyBorder="1"/>
    <xf numFmtId="0" fontId="0" fillId="0" borderId="25" xfId="0" applyBorder="1"/>
    <xf numFmtId="0" fontId="0" fillId="0" borderId="26" xfId="0" applyBorder="1"/>
    <xf numFmtId="0" fontId="0" fillId="0" borderId="30" xfId="0" applyBorder="1"/>
    <xf numFmtId="0" fontId="0" fillId="0" borderId="27" xfId="0" applyBorder="1"/>
    <xf numFmtId="0" fontId="0" fillId="0" borderId="28" xfId="0" applyBorder="1"/>
    <xf numFmtId="0" fontId="14" fillId="0" borderId="0" xfId="0" applyFont="1"/>
    <xf numFmtId="0" fontId="16" fillId="0" borderId="0" xfId="0" applyFont="1"/>
    <xf numFmtId="0" fontId="0" fillId="0" borderId="0" xfId="0" applyAlignment="1">
      <alignment horizontal="left" vertical="top"/>
    </xf>
    <xf numFmtId="0" fontId="0" fillId="2" borderId="0" xfId="0" applyFill="1" applyAlignment="1" applyProtection="1">
      <alignment horizontal="center" vertical="center" wrapText="1"/>
      <protection hidden="1"/>
    </xf>
    <xf numFmtId="0" fontId="12" fillId="8" borderId="0" xfId="0" applyFont="1" applyFill="1" applyAlignment="1">
      <alignment horizontal="center" vertical="center" wrapText="1"/>
    </xf>
    <xf numFmtId="0" fontId="1" fillId="2" borderId="0" xfId="0" applyFont="1" applyFill="1" applyAlignment="1" applyProtection="1">
      <alignment horizontal="center"/>
      <protection hidden="1"/>
    </xf>
    <xf numFmtId="0" fontId="8" fillId="2" borderId="0" xfId="0" applyFont="1" applyFill="1" applyAlignment="1" applyProtection="1">
      <alignment horizontal="left" vertical="top" wrapText="1"/>
      <protection hidden="1"/>
    </xf>
    <xf numFmtId="0" fontId="8" fillId="2" borderId="0" xfId="0" applyFont="1" applyFill="1" applyAlignment="1" applyProtection="1">
      <alignment horizontal="left" vertical="top"/>
      <protection hidden="1"/>
    </xf>
    <xf numFmtId="0" fontId="1" fillId="3" borderId="1" xfId="0" applyFont="1" applyFill="1" applyBorder="1" applyAlignment="1" applyProtection="1">
      <alignment horizontal="left" vertical="center" wrapText="1"/>
      <protection locked="0"/>
    </xf>
    <xf numFmtId="0" fontId="1" fillId="3" borderId="2" xfId="0" applyFont="1" applyFill="1" applyBorder="1" applyAlignment="1" applyProtection="1">
      <alignment horizontal="left" vertical="center" wrapText="1"/>
      <protection locked="0"/>
    </xf>
    <xf numFmtId="0" fontId="1" fillId="3" borderId="3" xfId="0" applyFont="1" applyFill="1" applyBorder="1" applyAlignment="1" applyProtection="1">
      <alignment horizontal="left" vertical="center" wrapText="1"/>
      <protection locked="0"/>
    </xf>
    <xf numFmtId="0" fontId="1" fillId="3" borderId="4" xfId="0" applyFont="1" applyFill="1" applyBorder="1" applyAlignment="1" applyProtection="1">
      <alignment horizontal="left" vertical="center" wrapText="1"/>
      <protection locked="0"/>
    </xf>
    <xf numFmtId="0" fontId="1" fillId="3" borderId="0" xfId="0" applyFont="1" applyFill="1" applyAlignment="1" applyProtection="1">
      <alignment horizontal="left" vertical="center" wrapText="1"/>
      <protection locked="0"/>
    </xf>
    <xf numFmtId="0" fontId="1" fillId="3" borderId="5" xfId="0" applyFont="1" applyFill="1" applyBorder="1" applyAlignment="1" applyProtection="1">
      <alignment horizontal="left" vertical="center" wrapText="1"/>
      <protection locked="0"/>
    </xf>
    <xf numFmtId="0" fontId="1" fillId="3" borderId="6" xfId="0" applyFont="1" applyFill="1" applyBorder="1" applyAlignment="1" applyProtection="1">
      <alignment horizontal="left" vertical="center" wrapText="1"/>
      <protection locked="0"/>
    </xf>
    <xf numFmtId="0" fontId="1" fillId="3" borderId="7" xfId="0" applyFont="1" applyFill="1" applyBorder="1" applyAlignment="1" applyProtection="1">
      <alignment horizontal="left" vertical="center" wrapText="1"/>
      <protection locked="0"/>
    </xf>
    <xf numFmtId="0" fontId="1" fillId="3" borderId="8" xfId="0" applyFont="1" applyFill="1" applyBorder="1" applyAlignment="1" applyProtection="1">
      <alignment horizontal="left" vertical="center" wrapText="1"/>
      <protection locked="0"/>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6" fillId="5" borderId="13" xfId="0" applyFont="1" applyFill="1" applyBorder="1" applyAlignment="1">
      <alignment horizontal="center" vertical="center"/>
    </xf>
    <xf numFmtId="0" fontId="6" fillId="5" borderId="14" xfId="0" applyFont="1" applyFill="1" applyBorder="1" applyAlignment="1">
      <alignment horizontal="center" vertical="center"/>
    </xf>
    <xf numFmtId="0" fontId="13" fillId="9" borderId="31" xfId="0" applyFont="1" applyFill="1" applyBorder="1" applyAlignment="1">
      <alignment horizontal="left" vertical="center"/>
    </xf>
    <xf numFmtId="0" fontId="13" fillId="9" borderId="32" xfId="0" applyFont="1" applyFill="1" applyBorder="1" applyAlignment="1">
      <alignment horizontal="left" vertical="center"/>
    </xf>
  </cellXfs>
  <cellStyles count="1">
    <cellStyle name="Normal" xfId="0" builtinId="0"/>
  </cellStyles>
  <dxfs count="6">
    <dxf>
      <font>
        <b/>
        <i val="0"/>
      </font>
      <fill>
        <patternFill>
          <bgColor rgb="FFFF0000"/>
        </patternFill>
      </fill>
    </dxf>
    <dxf>
      <font>
        <b val="0"/>
        <i/>
        <strike val="0"/>
        <color rgb="FFC00000"/>
      </font>
    </dxf>
    <dxf>
      <font>
        <b/>
        <i val="0"/>
        <color rgb="FFFFC000"/>
      </font>
    </dxf>
    <dxf>
      <font>
        <b/>
        <i val="0"/>
        <color rgb="FFFFC000"/>
      </font>
    </dxf>
    <dxf>
      <font>
        <color theme="1"/>
      </font>
      <fill>
        <patternFill>
          <bgColor theme="0" tint="-0.14996795556505021"/>
        </patternFill>
      </fill>
      <border>
        <left style="thin">
          <color theme="4" tint="0.39994506668294322"/>
        </left>
        <right style="thin">
          <color theme="4" tint="0.39994506668294322"/>
        </right>
        <top style="thin">
          <color theme="4" tint="0.39994506668294322"/>
        </top>
        <bottom style="thin">
          <color theme="4" tint="0.39994506668294322"/>
        </bottom>
      </border>
    </dxf>
    <dxf>
      <fill>
        <patternFill>
          <bgColor rgb="FFFFFF00"/>
        </patternFill>
      </fill>
      <border>
        <left style="dashDotDot">
          <color auto="1"/>
        </left>
        <right style="dashDotDot">
          <color auto="1"/>
        </right>
        <top style="dashDotDot">
          <color auto="1"/>
        </top>
        <bottom style="dashDotDot">
          <color auto="1"/>
        </bottom>
        <vertical/>
        <horizontal/>
      </border>
    </dxf>
  </dxfs>
  <tableStyles count="0" defaultTableStyle="TableStyleMedium2" defaultPivotStyle="PivotStyleLight16"/>
  <colors>
    <mruColors>
      <color rgb="FF0D0D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100361</xdr:rowOff>
    </xdr:from>
    <xdr:to>
      <xdr:col>3</xdr:col>
      <xdr:colOff>266467</xdr:colOff>
      <xdr:row>3</xdr:row>
      <xdr:rowOff>5110</xdr:rowOff>
    </xdr:to>
    <xdr:sp macro="" textlink="">
      <xdr:nvSpPr>
        <xdr:cNvPr id="4" name="Gráfico 2">
          <a:extLst>
            <a:ext uri="{FF2B5EF4-FFF2-40B4-BE49-F238E27FC236}">
              <a16:creationId xmlns:a16="http://schemas.microsoft.com/office/drawing/2014/main" id="{00000000-0008-0000-0000-000004000000}"/>
            </a:ext>
          </a:extLst>
        </xdr:cNvPr>
        <xdr:cNvSpPr/>
      </xdr:nvSpPr>
      <xdr:spPr>
        <a:xfrm>
          <a:off x="638175" y="128936"/>
          <a:ext cx="266467" cy="285749"/>
        </a:xfrm>
        <a:custGeom>
          <a:avLst/>
          <a:gdLst>
            <a:gd name="connsiteX0" fmla="*/ 23241 w 352425"/>
            <a:gd name="connsiteY0" fmla="*/ 22941 h 361950"/>
            <a:gd name="connsiteX1" fmla="*/ 19050 w 352425"/>
            <a:gd name="connsiteY1" fmla="*/ 38100 h 361950"/>
            <a:gd name="connsiteX2" fmla="*/ 19050 w 352425"/>
            <a:gd name="connsiteY2" fmla="*/ 76200 h 361950"/>
            <a:gd name="connsiteX3" fmla="*/ 47625 w 352425"/>
            <a:gd name="connsiteY3" fmla="*/ 76200 h 361950"/>
            <a:gd name="connsiteX4" fmla="*/ 47625 w 352425"/>
            <a:gd name="connsiteY4" fmla="*/ 38100 h 361950"/>
            <a:gd name="connsiteX5" fmla="*/ 43433 w 352425"/>
            <a:gd name="connsiteY5" fmla="*/ 22942 h 361950"/>
            <a:gd name="connsiteX6" fmla="*/ 33338 w 352425"/>
            <a:gd name="connsiteY6" fmla="*/ 19050 h 361950"/>
            <a:gd name="connsiteX7" fmla="*/ 47625 w 352425"/>
            <a:gd name="connsiteY7" fmla="*/ 95250 h 361950"/>
            <a:gd name="connsiteX8" fmla="*/ 47625 w 352425"/>
            <a:gd name="connsiteY8" fmla="*/ 352425 h 361950"/>
            <a:gd name="connsiteX9" fmla="*/ 57150 w 352425"/>
            <a:gd name="connsiteY9" fmla="*/ 361950 h 361950"/>
            <a:gd name="connsiteX10" fmla="*/ 342900 w 352425"/>
            <a:gd name="connsiteY10" fmla="*/ 361950 h 361950"/>
            <a:gd name="connsiteX11" fmla="*/ 352425 w 352425"/>
            <a:gd name="connsiteY11" fmla="*/ 352425 h 361950"/>
            <a:gd name="connsiteX12" fmla="*/ 352425 w 352425"/>
            <a:gd name="connsiteY12" fmla="*/ 32385 h 361950"/>
            <a:gd name="connsiteX13" fmla="*/ 320566 w 352425"/>
            <a:gd name="connsiteY13" fmla="*/ 0 h 361950"/>
            <a:gd name="connsiteX14" fmla="*/ 33338 w 352425"/>
            <a:gd name="connsiteY14" fmla="*/ 0 h 361950"/>
            <a:gd name="connsiteX15" fmla="*/ 8906 w 352425"/>
            <a:gd name="connsiteY15" fmla="*/ 10397 h 361950"/>
            <a:gd name="connsiteX16" fmla="*/ 0 w 352425"/>
            <a:gd name="connsiteY16" fmla="*/ 38100 h 361950"/>
            <a:gd name="connsiteX17" fmla="*/ 0 w 352425"/>
            <a:gd name="connsiteY17" fmla="*/ 85725 h 361950"/>
            <a:gd name="connsiteX18" fmla="*/ 9525 w 352425"/>
            <a:gd name="connsiteY18" fmla="*/ 95250 h 361950"/>
            <a:gd name="connsiteX19" fmla="*/ 47625 w 352425"/>
            <a:gd name="connsiteY19" fmla="*/ 95250 h 361950"/>
            <a:gd name="connsiteX20" fmla="*/ 23241 w 352425"/>
            <a:gd name="connsiteY20" fmla="*/ 22941 h 361950"/>
            <a:gd name="connsiteX21" fmla="*/ 33338 w 352425"/>
            <a:gd name="connsiteY21" fmla="*/ 19050 h 361950"/>
            <a:gd name="connsiteX22" fmla="*/ 23241 w 352425"/>
            <a:gd name="connsiteY22" fmla="*/ 22941 h 361950"/>
            <a:gd name="connsiteX23" fmla="*/ 63165 w 352425"/>
            <a:gd name="connsiteY23" fmla="*/ 19050 h 361950"/>
            <a:gd name="connsiteX24" fmla="*/ 66675 w 352425"/>
            <a:gd name="connsiteY24" fmla="*/ 38100 h 361950"/>
            <a:gd name="connsiteX25" fmla="*/ 66675 w 352425"/>
            <a:gd name="connsiteY25" fmla="*/ 342900 h 361950"/>
            <a:gd name="connsiteX26" fmla="*/ 333375 w 352425"/>
            <a:gd name="connsiteY26" fmla="*/ 342900 h 361950"/>
            <a:gd name="connsiteX27" fmla="*/ 333375 w 352425"/>
            <a:gd name="connsiteY27" fmla="*/ 32385 h 361950"/>
            <a:gd name="connsiteX28" fmla="*/ 320566 w 352425"/>
            <a:gd name="connsiteY28" fmla="*/ 19050 h 361950"/>
            <a:gd name="connsiteX29" fmla="*/ 63164 w 352425"/>
            <a:gd name="connsiteY29" fmla="*/ 19050 h 361950"/>
            <a:gd name="connsiteX30" fmla="*/ 99555 w 352425"/>
            <a:gd name="connsiteY30" fmla="*/ 81083 h 361950"/>
            <a:gd name="connsiteX31" fmla="*/ 113026 w 352425"/>
            <a:gd name="connsiteY31" fmla="*/ 81083 h 361950"/>
            <a:gd name="connsiteX32" fmla="*/ 123248 w 352425"/>
            <a:gd name="connsiteY32" fmla="*/ 91305 h 361950"/>
            <a:gd name="connsiteX33" fmla="*/ 133470 w 352425"/>
            <a:gd name="connsiteY33" fmla="*/ 81083 h 361950"/>
            <a:gd name="connsiteX34" fmla="*/ 146941 w 352425"/>
            <a:gd name="connsiteY34" fmla="*/ 81083 h 361950"/>
            <a:gd name="connsiteX35" fmla="*/ 146941 w 352425"/>
            <a:gd name="connsiteY35" fmla="*/ 94553 h 361950"/>
            <a:gd name="connsiteX36" fmla="*/ 136717 w 352425"/>
            <a:gd name="connsiteY36" fmla="*/ 104775 h 361950"/>
            <a:gd name="connsiteX37" fmla="*/ 146940 w 352425"/>
            <a:gd name="connsiteY37" fmla="*/ 114998 h 361950"/>
            <a:gd name="connsiteX38" fmla="*/ 146940 w 352425"/>
            <a:gd name="connsiteY38" fmla="*/ 128468 h 361950"/>
            <a:gd name="connsiteX39" fmla="*/ 133469 w 352425"/>
            <a:gd name="connsiteY39" fmla="*/ 128468 h 361950"/>
            <a:gd name="connsiteX40" fmla="*/ 123247 w 352425"/>
            <a:gd name="connsiteY40" fmla="*/ 118245 h 361950"/>
            <a:gd name="connsiteX41" fmla="*/ 113025 w 352425"/>
            <a:gd name="connsiteY41" fmla="*/ 128468 h 361950"/>
            <a:gd name="connsiteX42" fmla="*/ 99554 w 352425"/>
            <a:gd name="connsiteY42" fmla="*/ 128468 h 361950"/>
            <a:gd name="connsiteX43" fmla="*/ 99554 w 352425"/>
            <a:gd name="connsiteY43" fmla="*/ 114998 h 361950"/>
            <a:gd name="connsiteX44" fmla="*/ 109777 w 352425"/>
            <a:gd name="connsiteY44" fmla="*/ 104775 h 361950"/>
            <a:gd name="connsiteX45" fmla="*/ 99554 w 352425"/>
            <a:gd name="connsiteY45" fmla="*/ 94553 h 361950"/>
            <a:gd name="connsiteX46" fmla="*/ 99554 w 352425"/>
            <a:gd name="connsiteY46" fmla="*/ 81083 h 361950"/>
            <a:gd name="connsiteX47" fmla="*/ 180975 w 352425"/>
            <a:gd name="connsiteY47" fmla="*/ 100013 h 361950"/>
            <a:gd name="connsiteX48" fmla="*/ 190500 w 352425"/>
            <a:gd name="connsiteY48" fmla="*/ 90488 h 361950"/>
            <a:gd name="connsiteX49" fmla="*/ 295275 w 352425"/>
            <a:gd name="connsiteY49" fmla="*/ 90488 h 361950"/>
            <a:gd name="connsiteX50" fmla="*/ 304800 w 352425"/>
            <a:gd name="connsiteY50" fmla="*/ 100013 h 361950"/>
            <a:gd name="connsiteX51" fmla="*/ 295275 w 352425"/>
            <a:gd name="connsiteY51" fmla="*/ 109538 h 361950"/>
            <a:gd name="connsiteX52" fmla="*/ 190500 w 352425"/>
            <a:gd name="connsiteY52" fmla="*/ 109538 h 361950"/>
            <a:gd name="connsiteX53" fmla="*/ 180975 w 352425"/>
            <a:gd name="connsiteY53" fmla="*/ 100013 h 361950"/>
            <a:gd name="connsiteX54" fmla="*/ 158115 w 352425"/>
            <a:gd name="connsiteY54" fmla="*/ 163830 h 361950"/>
            <a:gd name="connsiteX55" fmla="*/ 160020 w 352425"/>
            <a:gd name="connsiteY55" fmla="*/ 177165 h 361950"/>
            <a:gd name="connsiteX56" fmla="*/ 131445 w 352425"/>
            <a:gd name="connsiteY56" fmla="*/ 215265 h 361950"/>
            <a:gd name="connsiteX57" fmla="*/ 118115 w 352425"/>
            <a:gd name="connsiteY57" fmla="*/ 217174 h 361950"/>
            <a:gd name="connsiteX58" fmla="*/ 117090 w 352425"/>
            <a:gd name="connsiteY58" fmla="*/ 216285 h 361950"/>
            <a:gd name="connsiteX59" fmla="*/ 98040 w 352425"/>
            <a:gd name="connsiteY59" fmla="*/ 197235 h 361950"/>
            <a:gd name="connsiteX60" fmla="*/ 98040 w 352425"/>
            <a:gd name="connsiteY60" fmla="*/ 183765 h 361950"/>
            <a:gd name="connsiteX61" fmla="*/ 111510 w 352425"/>
            <a:gd name="connsiteY61" fmla="*/ 183765 h 361950"/>
            <a:gd name="connsiteX62" fmla="*/ 122794 w 352425"/>
            <a:gd name="connsiteY62" fmla="*/ 195049 h 361950"/>
            <a:gd name="connsiteX63" fmla="*/ 144780 w 352425"/>
            <a:gd name="connsiteY63" fmla="*/ 165735 h 361950"/>
            <a:gd name="connsiteX64" fmla="*/ 158115 w 352425"/>
            <a:gd name="connsiteY64" fmla="*/ 163830 h 361950"/>
            <a:gd name="connsiteX65" fmla="*/ 180975 w 352425"/>
            <a:gd name="connsiteY65" fmla="*/ 195263 h 361950"/>
            <a:gd name="connsiteX66" fmla="*/ 190500 w 352425"/>
            <a:gd name="connsiteY66" fmla="*/ 185738 h 361950"/>
            <a:gd name="connsiteX67" fmla="*/ 295275 w 352425"/>
            <a:gd name="connsiteY67" fmla="*/ 185738 h 361950"/>
            <a:gd name="connsiteX68" fmla="*/ 304800 w 352425"/>
            <a:gd name="connsiteY68" fmla="*/ 195263 h 361950"/>
            <a:gd name="connsiteX69" fmla="*/ 295275 w 352425"/>
            <a:gd name="connsiteY69" fmla="*/ 204788 h 361950"/>
            <a:gd name="connsiteX70" fmla="*/ 190500 w 352425"/>
            <a:gd name="connsiteY70" fmla="*/ 204788 h 361950"/>
            <a:gd name="connsiteX71" fmla="*/ 180975 w 352425"/>
            <a:gd name="connsiteY71" fmla="*/ 195263 h 361950"/>
            <a:gd name="connsiteX72" fmla="*/ 158115 w 352425"/>
            <a:gd name="connsiteY72" fmla="*/ 254318 h 361950"/>
            <a:gd name="connsiteX73" fmla="*/ 160020 w 352425"/>
            <a:gd name="connsiteY73" fmla="*/ 267653 h 361950"/>
            <a:gd name="connsiteX74" fmla="*/ 131445 w 352425"/>
            <a:gd name="connsiteY74" fmla="*/ 305753 h 361950"/>
            <a:gd name="connsiteX75" fmla="*/ 118115 w 352425"/>
            <a:gd name="connsiteY75" fmla="*/ 307661 h 361950"/>
            <a:gd name="connsiteX76" fmla="*/ 117090 w 352425"/>
            <a:gd name="connsiteY76" fmla="*/ 306773 h 361950"/>
            <a:gd name="connsiteX77" fmla="*/ 98040 w 352425"/>
            <a:gd name="connsiteY77" fmla="*/ 287723 h 361950"/>
            <a:gd name="connsiteX78" fmla="*/ 98040 w 352425"/>
            <a:gd name="connsiteY78" fmla="*/ 274252 h 361950"/>
            <a:gd name="connsiteX79" fmla="*/ 111510 w 352425"/>
            <a:gd name="connsiteY79" fmla="*/ 274252 h 361950"/>
            <a:gd name="connsiteX80" fmla="*/ 122794 w 352425"/>
            <a:gd name="connsiteY80" fmla="*/ 285537 h 361950"/>
            <a:gd name="connsiteX81" fmla="*/ 144780 w 352425"/>
            <a:gd name="connsiteY81" fmla="*/ 256223 h 361950"/>
            <a:gd name="connsiteX82" fmla="*/ 158115 w 352425"/>
            <a:gd name="connsiteY82" fmla="*/ 254318 h 361950"/>
            <a:gd name="connsiteX83" fmla="*/ 180975 w 352425"/>
            <a:gd name="connsiteY83" fmla="*/ 280988 h 361950"/>
            <a:gd name="connsiteX84" fmla="*/ 190500 w 352425"/>
            <a:gd name="connsiteY84" fmla="*/ 271463 h 361950"/>
            <a:gd name="connsiteX85" fmla="*/ 295275 w 352425"/>
            <a:gd name="connsiteY85" fmla="*/ 271463 h 361950"/>
            <a:gd name="connsiteX86" fmla="*/ 304800 w 352425"/>
            <a:gd name="connsiteY86" fmla="*/ 280988 h 361950"/>
            <a:gd name="connsiteX87" fmla="*/ 295275 w 352425"/>
            <a:gd name="connsiteY87" fmla="*/ 290513 h 361950"/>
            <a:gd name="connsiteX88" fmla="*/ 190500 w 352425"/>
            <a:gd name="connsiteY88" fmla="*/ 290513 h 361950"/>
            <a:gd name="connsiteX89" fmla="*/ 180975 w 352425"/>
            <a:gd name="connsiteY89" fmla="*/ 280988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Lst>
          <a:rect l="l" t="t" r="r" b="b"/>
          <a:pathLst>
            <a:path w="352425" h="361950">
              <a:moveTo>
                <a:pt x="23241" y="22941"/>
              </a:moveTo>
              <a:cubicBezTo>
                <a:pt x="21060" y="25434"/>
                <a:pt x="19050" y="30058"/>
                <a:pt x="19050" y="38100"/>
              </a:cubicBezTo>
              <a:lnTo>
                <a:pt x="19050" y="76200"/>
              </a:lnTo>
              <a:lnTo>
                <a:pt x="47625" y="76200"/>
              </a:lnTo>
              <a:lnTo>
                <a:pt x="47625" y="38100"/>
              </a:lnTo>
              <a:cubicBezTo>
                <a:pt x="47625" y="30059"/>
                <a:pt x="45615" y="25435"/>
                <a:pt x="43433" y="22942"/>
              </a:cubicBezTo>
              <a:cubicBezTo>
                <a:pt x="41398" y="20615"/>
                <a:pt x="38266" y="19050"/>
                <a:pt x="33338" y="19050"/>
              </a:cubicBezTo>
              <a:moveTo>
                <a:pt x="47625" y="95250"/>
              </a:moveTo>
              <a:lnTo>
                <a:pt x="47625" y="352425"/>
              </a:lnTo>
              <a:cubicBezTo>
                <a:pt x="47625" y="357686"/>
                <a:pt x="51889" y="361950"/>
                <a:pt x="57150" y="361950"/>
              </a:cubicBezTo>
              <a:lnTo>
                <a:pt x="342900" y="361950"/>
              </a:lnTo>
              <a:cubicBezTo>
                <a:pt x="348161" y="361950"/>
                <a:pt x="352425" y="357686"/>
                <a:pt x="352425" y="352425"/>
              </a:cubicBezTo>
              <a:lnTo>
                <a:pt x="352425" y="32385"/>
              </a:lnTo>
              <a:cubicBezTo>
                <a:pt x="352425" y="14762"/>
                <a:pt x="338318" y="0"/>
                <a:pt x="320566" y="0"/>
              </a:cubicBezTo>
              <a:lnTo>
                <a:pt x="33338" y="0"/>
              </a:lnTo>
              <a:cubicBezTo>
                <a:pt x="23979" y="0"/>
                <a:pt x="15204" y="3198"/>
                <a:pt x="8906" y="10397"/>
              </a:cubicBezTo>
              <a:cubicBezTo>
                <a:pt x="2753" y="17429"/>
                <a:pt x="0" y="27092"/>
                <a:pt x="0" y="38100"/>
              </a:cubicBezTo>
              <a:lnTo>
                <a:pt x="0" y="85725"/>
              </a:lnTo>
              <a:cubicBezTo>
                <a:pt x="0" y="90986"/>
                <a:pt x="4264" y="95250"/>
                <a:pt x="9525" y="95250"/>
              </a:cubicBezTo>
              <a:lnTo>
                <a:pt x="47625" y="95250"/>
              </a:lnTo>
              <a:close/>
              <a:moveTo>
                <a:pt x="23241" y="22941"/>
              </a:moveTo>
              <a:cubicBezTo>
                <a:pt x="25278" y="20615"/>
                <a:pt x="28409" y="19050"/>
                <a:pt x="33338" y="19050"/>
              </a:cubicBezTo>
              <a:lnTo>
                <a:pt x="23241" y="22941"/>
              </a:lnTo>
              <a:close/>
              <a:moveTo>
                <a:pt x="63165" y="19050"/>
              </a:moveTo>
              <a:cubicBezTo>
                <a:pt x="65561" y="24635"/>
                <a:pt x="66675" y="31095"/>
                <a:pt x="66675" y="38100"/>
              </a:cubicBezTo>
              <a:lnTo>
                <a:pt x="66675" y="342900"/>
              </a:lnTo>
              <a:lnTo>
                <a:pt x="333375" y="342900"/>
              </a:lnTo>
              <a:lnTo>
                <a:pt x="333375" y="32385"/>
              </a:lnTo>
              <a:cubicBezTo>
                <a:pt x="333375" y="24863"/>
                <a:pt x="327381" y="19050"/>
                <a:pt x="320566" y="19050"/>
              </a:cubicBezTo>
              <a:lnTo>
                <a:pt x="63164" y="19050"/>
              </a:lnTo>
              <a:close/>
              <a:moveTo>
                <a:pt x="99555" y="81083"/>
              </a:moveTo>
              <a:cubicBezTo>
                <a:pt x="103275" y="77363"/>
                <a:pt x="109306" y="77363"/>
                <a:pt x="113026" y="81083"/>
              </a:cubicBezTo>
              <a:lnTo>
                <a:pt x="123248" y="91305"/>
              </a:lnTo>
              <a:lnTo>
                <a:pt x="133470" y="81083"/>
              </a:lnTo>
              <a:cubicBezTo>
                <a:pt x="137190" y="77363"/>
                <a:pt x="143221" y="77363"/>
                <a:pt x="146941" y="81083"/>
              </a:cubicBezTo>
              <a:cubicBezTo>
                <a:pt x="150661" y="84802"/>
                <a:pt x="150661" y="90833"/>
                <a:pt x="146941" y="94553"/>
              </a:cubicBezTo>
              <a:lnTo>
                <a:pt x="136717" y="104775"/>
              </a:lnTo>
              <a:lnTo>
                <a:pt x="146940" y="114998"/>
              </a:lnTo>
              <a:cubicBezTo>
                <a:pt x="150660" y="118718"/>
                <a:pt x="150660" y="124748"/>
                <a:pt x="146940" y="128468"/>
              </a:cubicBezTo>
              <a:cubicBezTo>
                <a:pt x="143220" y="132188"/>
                <a:pt x="137190" y="132188"/>
                <a:pt x="133469" y="128468"/>
              </a:cubicBezTo>
              <a:lnTo>
                <a:pt x="123247" y="118245"/>
              </a:lnTo>
              <a:lnTo>
                <a:pt x="113025" y="128468"/>
              </a:lnTo>
              <a:cubicBezTo>
                <a:pt x="109305" y="132188"/>
                <a:pt x="103274" y="132188"/>
                <a:pt x="99554" y="128468"/>
              </a:cubicBezTo>
              <a:cubicBezTo>
                <a:pt x="95835" y="124748"/>
                <a:pt x="95835" y="118718"/>
                <a:pt x="99554" y="114998"/>
              </a:cubicBezTo>
              <a:lnTo>
                <a:pt x="109777" y="104775"/>
              </a:lnTo>
              <a:lnTo>
                <a:pt x="99554" y="94553"/>
              </a:lnTo>
              <a:cubicBezTo>
                <a:pt x="95835" y="90833"/>
                <a:pt x="95835" y="84802"/>
                <a:pt x="99554" y="81083"/>
              </a:cubicBezTo>
              <a:close/>
              <a:moveTo>
                <a:pt x="180975" y="100013"/>
              </a:moveTo>
              <a:cubicBezTo>
                <a:pt x="180975" y="94752"/>
                <a:pt x="185239" y="90488"/>
                <a:pt x="190500" y="90488"/>
              </a:cubicBezTo>
              <a:lnTo>
                <a:pt x="295275" y="90488"/>
              </a:lnTo>
              <a:cubicBezTo>
                <a:pt x="300536" y="90488"/>
                <a:pt x="304800" y="94752"/>
                <a:pt x="304800" y="100013"/>
              </a:cubicBezTo>
              <a:cubicBezTo>
                <a:pt x="304800" y="105273"/>
                <a:pt x="300536" y="109538"/>
                <a:pt x="295275" y="109538"/>
              </a:cubicBezTo>
              <a:lnTo>
                <a:pt x="190500" y="109538"/>
              </a:lnTo>
              <a:cubicBezTo>
                <a:pt x="185239" y="109538"/>
                <a:pt x="180975" y="105273"/>
                <a:pt x="180975" y="100013"/>
              </a:cubicBezTo>
              <a:close/>
              <a:moveTo>
                <a:pt x="158115" y="163830"/>
              </a:moveTo>
              <a:cubicBezTo>
                <a:pt x="162323" y="166987"/>
                <a:pt x="163177" y="172957"/>
                <a:pt x="160020" y="177165"/>
              </a:cubicBezTo>
              <a:lnTo>
                <a:pt x="131445" y="215265"/>
              </a:lnTo>
              <a:cubicBezTo>
                <a:pt x="128291" y="219473"/>
                <a:pt x="122323" y="220328"/>
                <a:pt x="118115" y="217174"/>
              </a:cubicBezTo>
              <a:cubicBezTo>
                <a:pt x="117753" y="216902"/>
                <a:pt x="117410" y="216605"/>
                <a:pt x="117090" y="216285"/>
              </a:cubicBezTo>
              <a:lnTo>
                <a:pt x="98040" y="197235"/>
              </a:lnTo>
              <a:cubicBezTo>
                <a:pt x="94320" y="193516"/>
                <a:pt x="94320" y="187484"/>
                <a:pt x="98040" y="183765"/>
              </a:cubicBezTo>
              <a:cubicBezTo>
                <a:pt x="101759" y="180045"/>
                <a:pt x="107791" y="180045"/>
                <a:pt x="111510" y="183765"/>
              </a:cubicBezTo>
              <a:lnTo>
                <a:pt x="122794" y="195049"/>
              </a:lnTo>
              <a:lnTo>
                <a:pt x="144780" y="165735"/>
              </a:lnTo>
              <a:cubicBezTo>
                <a:pt x="147937" y="161527"/>
                <a:pt x="153907" y="160674"/>
                <a:pt x="158115" y="163830"/>
              </a:cubicBezTo>
              <a:close/>
              <a:moveTo>
                <a:pt x="180975" y="195263"/>
              </a:moveTo>
              <a:cubicBezTo>
                <a:pt x="180975" y="190002"/>
                <a:pt x="185239" y="185738"/>
                <a:pt x="190500" y="185738"/>
              </a:cubicBezTo>
              <a:lnTo>
                <a:pt x="295275" y="185738"/>
              </a:lnTo>
              <a:cubicBezTo>
                <a:pt x="300536" y="185738"/>
                <a:pt x="304800" y="190002"/>
                <a:pt x="304800" y="195263"/>
              </a:cubicBezTo>
              <a:cubicBezTo>
                <a:pt x="304800" y="200523"/>
                <a:pt x="300536" y="204788"/>
                <a:pt x="295275" y="204788"/>
              </a:cubicBezTo>
              <a:lnTo>
                <a:pt x="190500" y="204788"/>
              </a:lnTo>
              <a:cubicBezTo>
                <a:pt x="185239" y="204788"/>
                <a:pt x="180975" y="200523"/>
                <a:pt x="180975" y="195263"/>
              </a:cubicBezTo>
              <a:close/>
              <a:moveTo>
                <a:pt x="158115" y="254318"/>
              </a:moveTo>
              <a:cubicBezTo>
                <a:pt x="162323" y="257474"/>
                <a:pt x="163177" y="263444"/>
                <a:pt x="160020" y="267653"/>
              </a:cubicBezTo>
              <a:lnTo>
                <a:pt x="131445" y="305753"/>
              </a:lnTo>
              <a:cubicBezTo>
                <a:pt x="128291" y="309961"/>
                <a:pt x="122323" y="310815"/>
                <a:pt x="118115" y="307661"/>
              </a:cubicBezTo>
              <a:cubicBezTo>
                <a:pt x="117753" y="307390"/>
                <a:pt x="117410" y="307093"/>
                <a:pt x="117090" y="306773"/>
              </a:cubicBezTo>
              <a:lnTo>
                <a:pt x="98040" y="287723"/>
              </a:lnTo>
              <a:cubicBezTo>
                <a:pt x="94320" y="284003"/>
                <a:pt x="94320" y="277972"/>
                <a:pt x="98040" y="274252"/>
              </a:cubicBezTo>
              <a:cubicBezTo>
                <a:pt x="101759" y="270533"/>
                <a:pt x="107791" y="270533"/>
                <a:pt x="111510" y="274252"/>
              </a:cubicBezTo>
              <a:lnTo>
                <a:pt x="122794" y="285537"/>
              </a:lnTo>
              <a:lnTo>
                <a:pt x="144780" y="256223"/>
              </a:lnTo>
              <a:cubicBezTo>
                <a:pt x="147937" y="252014"/>
                <a:pt x="153907" y="251162"/>
                <a:pt x="158115" y="254318"/>
              </a:cubicBezTo>
              <a:close/>
              <a:moveTo>
                <a:pt x="180975" y="280988"/>
              </a:moveTo>
              <a:cubicBezTo>
                <a:pt x="180975" y="275727"/>
                <a:pt x="185239" y="271463"/>
                <a:pt x="190500" y="271463"/>
              </a:cubicBezTo>
              <a:lnTo>
                <a:pt x="295275" y="271463"/>
              </a:lnTo>
              <a:cubicBezTo>
                <a:pt x="300536" y="271463"/>
                <a:pt x="304800" y="275727"/>
                <a:pt x="304800" y="280988"/>
              </a:cubicBezTo>
              <a:cubicBezTo>
                <a:pt x="304800" y="286248"/>
                <a:pt x="300536" y="290513"/>
                <a:pt x="295275" y="290513"/>
              </a:cubicBezTo>
              <a:lnTo>
                <a:pt x="190500" y="290513"/>
              </a:lnTo>
              <a:cubicBezTo>
                <a:pt x="185239" y="290513"/>
                <a:pt x="180975" y="286248"/>
                <a:pt x="180975" y="280988"/>
              </a:cubicBezTo>
              <a:close/>
            </a:path>
          </a:pathLst>
        </a:custGeom>
        <a:solidFill>
          <a:schemeClr val="accent4"/>
        </a:solidFill>
        <a:ln w="9525" cap="flat">
          <a:solidFill>
            <a:srgbClr val="000000">
              <a:alpha val="0"/>
            </a:srgbClr>
          </a:solidFill>
          <a:prstDash val="solid"/>
          <a:miter/>
        </a:ln>
        <a:effectLst>
          <a:outerShdw blurRad="50800" dist="38100" dir="2700000" algn="tl" rotWithShape="0">
            <a:prstClr val="black">
              <a:alpha val="40000"/>
            </a:prstClr>
          </a:outerShdw>
        </a:effectLst>
      </xdr:spPr>
      <xdr:txBody>
        <a:bodyPr rtlCol="0" anchor="ctr"/>
        <a:lstStyle/>
        <a:p>
          <a:endParaRPr lang="pt-BR"/>
        </a:p>
      </xdr:txBody>
    </xdr:sp>
    <xdr:clientData/>
  </xdr:twoCellAnchor>
  <xdr:twoCellAnchor>
    <xdr:from>
      <xdr:col>3</xdr:col>
      <xdr:colOff>270650</xdr:colOff>
      <xdr:row>1</xdr:row>
      <xdr:rowOff>120155</xdr:rowOff>
    </xdr:from>
    <xdr:to>
      <xdr:col>6</xdr:col>
      <xdr:colOff>581025</xdr:colOff>
      <xdr:row>2</xdr:row>
      <xdr:rowOff>184924</xdr:rowOff>
    </xdr:to>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908825" y="148730"/>
          <a:ext cx="2653525" cy="25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i="1" u="none">
              <a:solidFill>
                <a:schemeClr val="accent4"/>
              </a:solidFill>
            </a:rPr>
            <a:t>SISTEMA</a:t>
          </a:r>
          <a:r>
            <a:rPr lang="pt-BR" sz="1100" b="1" i="1" u="none" baseline="0">
              <a:solidFill>
                <a:schemeClr val="accent4"/>
              </a:solidFill>
            </a:rPr>
            <a:t> DE CONSULTA DE QUESTÕES</a:t>
          </a:r>
          <a:endParaRPr lang="pt-BR" sz="1100" b="1" i="1" u="none">
            <a:solidFill>
              <a:schemeClr val="accent4"/>
            </a:solidFill>
          </a:endParaRPr>
        </a:p>
      </xdr:txBody>
    </xdr:sp>
    <xdr:clientData/>
  </xdr:twoCellAnchor>
  <xdr:oneCellAnchor>
    <xdr:from>
      <xdr:col>8</xdr:col>
      <xdr:colOff>361950</xdr:colOff>
      <xdr:row>2</xdr:row>
      <xdr:rowOff>66675</xdr:rowOff>
    </xdr:from>
    <xdr:ext cx="2343150" cy="311496"/>
    <xdr:sp macro="[0]!Paste" textlink="">
      <xdr:nvSpPr>
        <xdr:cNvPr id="2" name="CaixaDeTexto 1">
          <a:extLst>
            <a:ext uri="{FF2B5EF4-FFF2-40B4-BE49-F238E27FC236}">
              <a16:creationId xmlns:a16="http://schemas.microsoft.com/office/drawing/2014/main" id="{00000000-0008-0000-0000-000002000000}"/>
            </a:ext>
          </a:extLst>
        </xdr:cNvPr>
        <xdr:cNvSpPr txBox="1"/>
      </xdr:nvSpPr>
      <xdr:spPr>
        <a:xfrm>
          <a:off x="4743450" y="285750"/>
          <a:ext cx="23431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0" i="1" u="none">
              <a:solidFill>
                <a:schemeClr val="bg1"/>
              </a:solidFill>
            </a:rPr>
            <a:t>COLOQUE</a:t>
          </a:r>
          <a:r>
            <a:rPr lang="pt-BR" sz="1050" b="0" i="1" u="none" baseline="0">
              <a:solidFill>
                <a:schemeClr val="bg1"/>
              </a:solidFill>
            </a:rPr>
            <a:t> AQUI A SUA QUESTÃO :   </a:t>
          </a:r>
          <a:r>
            <a:rPr lang="pt-BR" sz="1400" b="1" i="0" u="none" baseline="0">
              <a:solidFill>
                <a:srgbClr val="FFFF00"/>
              </a:solidFill>
            </a:rPr>
            <a:t>↓</a:t>
          </a:r>
          <a:endParaRPr lang="pt-BR" sz="1050" b="1" i="0" u="none">
            <a:solidFill>
              <a:srgbClr val="FFFF00"/>
            </a:solidFill>
          </a:endParaRPr>
        </a:p>
      </xdr:txBody>
    </xdr:sp>
    <xdr:clientData/>
  </xdr:oneCellAnchor>
  <mc:AlternateContent xmlns:mc="http://schemas.openxmlformats.org/markup-compatibility/2006">
    <mc:Choice xmlns:a14="http://schemas.microsoft.com/office/drawing/2010/main" Requires="a14">
      <xdr:twoCellAnchor>
        <xdr:from>
          <xdr:col>1</xdr:col>
          <xdr:colOff>28575</xdr:colOff>
          <xdr:row>4</xdr:row>
          <xdr:rowOff>9525</xdr:rowOff>
        </xdr:from>
        <xdr:to>
          <xdr:col>1</xdr:col>
          <xdr:colOff>523875</xdr:colOff>
          <xdr:row>5</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Colar</a:t>
              </a:r>
            </a:p>
            <a:p>
              <a:pPr algn="ctr" rtl="0">
                <a:defRPr sz="1000"/>
              </a:pPr>
              <a:r>
                <a:rPr lang="pt-BR" sz="1100" b="1" i="0" u="none" strike="noStrike" baseline="0">
                  <a:solidFill>
                    <a:srgbClr val="000000"/>
                  </a:solidFill>
                  <a:latin typeface="Calibri"/>
                  <a:cs typeface="Calibri"/>
                </a:rPr>
                <a:t>COLAR</a:t>
              </a:r>
            </a:p>
          </xdr:txBody>
        </xdr:sp>
        <xdr:clientData fPrintsWithSheet="0"/>
      </xdr:twoCellAnchor>
    </mc:Choice>
    <mc:Fallback/>
  </mc:AlternateContent>
  <xdr:twoCellAnchor>
    <xdr:from>
      <xdr:col>7</xdr:col>
      <xdr:colOff>524847</xdr:colOff>
      <xdr:row>1</xdr:row>
      <xdr:rowOff>29158</xdr:rowOff>
    </xdr:from>
    <xdr:to>
      <xdr:col>12</xdr:col>
      <xdr:colOff>165229</xdr:colOff>
      <xdr:row>2</xdr:row>
      <xdr:rowOff>48597</xdr:rowOff>
    </xdr:to>
    <xdr:sp macro="" textlink="">
      <xdr:nvSpPr>
        <xdr:cNvPr id="5" name="Retângulo: Cantos Arredondados 4">
          <a:extLst>
            <a:ext uri="{FF2B5EF4-FFF2-40B4-BE49-F238E27FC236}">
              <a16:creationId xmlns:a16="http://schemas.microsoft.com/office/drawing/2014/main" id="{00000000-0008-0000-0000-000005000000}"/>
            </a:ext>
          </a:extLst>
        </xdr:cNvPr>
        <xdr:cNvSpPr/>
      </xdr:nvSpPr>
      <xdr:spPr>
        <a:xfrm>
          <a:off x="4276531" y="58316"/>
          <a:ext cx="3528137" cy="213827"/>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nchorCtr="1"/>
        <a:lstStyle/>
        <a:p>
          <a:pPr algn="l"/>
          <a:r>
            <a:rPr lang="pt-BR" sz="1100" b="0" i="0">
              <a:solidFill>
                <a:schemeClr val="lt1"/>
              </a:solidFill>
              <a:effectLst/>
              <a:latin typeface="+mn-lt"/>
              <a:ea typeface="+mn-ea"/>
              <a:cs typeface="+mn-cs"/>
            </a:rPr>
            <a:t> </a:t>
          </a:r>
          <a:r>
            <a:rPr lang="pt-BR" sz="1100" b="1" i="0">
              <a:solidFill>
                <a:schemeClr val="lt1"/>
              </a:solidFill>
              <a:effectLst/>
              <a:latin typeface="+mn-lt"/>
              <a:ea typeface="+mn-ea"/>
              <a:cs typeface="+mn-cs"/>
            </a:rPr>
            <a:t>© </a:t>
          </a:r>
          <a:r>
            <a:rPr lang="pt-BR" sz="1100"/>
            <a:t>GARAY</a:t>
          </a:r>
          <a:r>
            <a:rPr lang="pt-BR" sz="1100" baseline="0"/>
            <a:t> &amp; SOARES LTDA</a:t>
          </a:r>
          <a:endParaRPr lang="pt-BR" sz="1100"/>
        </a:p>
      </xdr:txBody>
    </xdr:sp>
    <xdr:clientData/>
  </xdr:twoCellAnchor>
  <xdr:twoCellAnchor>
    <xdr:from>
      <xdr:col>20</xdr:col>
      <xdr:colOff>55205</xdr:colOff>
      <xdr:row>8</xdr:row>
      <xdr:rowOff>171839</xdr:rowOff>
    </xdr:from>
    <xdr:to>
      <xdr:col>30</xdr:col>
      <xdr:colOff>602602</xdr:colOff>
      <xdr:row>29</xdr:row>
      <xdr:rowOff>84364</xdr:rowOff>
    </xdr:to>
    <xdr:sp macro="" textlink="">
      <xdr:nvSpPr>
        <xdr:cNvPr id="9" name="Retângulo 8">
          <a:extLst>
            <a:ext uri="{FF2B5EF4-FFF2-40B4-BE49-F238E27FC236}">
              <a16:creationId xmlns:a16="http://schemas.microsoft.com/office/drawing/2014/main" id="{00000000-0008-0000-0000-000009000000}"/>
            </a:ext>
          </a:extLst>
        </xdr:cNvPr>
        <xdr:cNvSpPr/>
      </xdr:nvSpPr>
      <xdr:spPr>
        <a:xfrm>
          <a:off x="10989516" y="1474237"/>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0</xdr:colOff>
      <xdr:row>0</xdr:row>
      <xdr:rowOff>0</xdr:rowOff>
    </xdr:from>
    <xdr:to>
      <xdr:col>32</xdr:col>
      <xdr:colOff>230154</xdr:colOff>
      <xdr:row>28</xdr:row>
      <xdr:rowOff>174949</xdr:rowOff>
    </xdr:to>
    <xdr:grpSp>
      <xdr:nvGrpSpPr>
        <xdr:cNvPr id="11" name="Agrupar 10">
          <a:extLst>
            <a:ext uri="{FF2B5EF4-FFF2-40B4-BE49-F238E27FC236}">
              <a16:creationId xmlns:a16="http://schemas.microsoft.com/office/drawing/2014/main" id="{00000000-0008-0000-0000-00000B000000}"/>
            </a:ext>
          </a:extLst>
        </xdr:cNvPr>
        <xdr:cNvGrpSpPr/>
      </xdr:nvGrpSpPr>
      <xdr:grpSpPr>
        <a:xfrm>
          <a:off x="0" y="0"/>
          <a:ext cx="18813623" cy="5860791"/>
          <a:chOff x="0" y="0"/>
          <a:chExt cx="18813623" cy="5860791"/>
        </a:xfrm>
      </xdr:grpSpPr>
      <xdr:sp macro="" textlink="">
        <xdr:nvSpPr>
          <xdr:cNvPr id="6" name="Retângulo 5">
            <a:extLst>
              <a:ext uri="{FF2B5EF4-FFF2-40B4-BE49-F238E27FC236}">
                <a16:creationId xmlns:a16="http://schemas.microsoft.com/office/drawing/2014/main" id="{00000000-0008-0000-0000-000006000000}"/>
              </a:ext>
            </a:extLst>
          </xdr:cNvPr>
          <xdr:cNvSpPr/>
        </xdr:nvSpPr>
        <xdr:spPr>
          <a:xfrm>
            <a:off x="0" y="1292680"/>
            <a:ext cx="12450536"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 name="Retângulo 6">
            <a:extLst>
              <a:ext uri="{FF2B5EF4-FFF2-40B4-BE49-F238E27FC236}">
                <a16:creationId xmlns:a16="http://schemas.microsoft.com/office/drawing/2014/main" id="{00000000-0008-0000-0000-000007000000}"/>
              </a:ext>
            </a:extLst>
          </xdr:cNvPr>
          <xdr:cNvSpPr/>
        </xdr:nvSpPr>
        <xdr:spPr>
          <a:xfrm>
            <a:off x="10837116" y="1321837"/>
            <a:ext cx="1882451"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 name="Retângulo 7">
            <a:extLst>
              <a:ext uri="{FF2B5EF4-FFF2-40B4-BE49-F238E27FC236}">
                <a16:creationId xmlns:a16="http://schemas.microsoft.com/office/drawing/2014/main" id="{00000000-0008-0000-0000-000008000000}"/>
              </a:ext>
            </a:extLst>
          </xdr:cNvPr>
          <xdr:cNvSpPr/>
        </xdr:nvSpPr>
        <xdr:spPr>
          <a:xfrm>
            <a:off x="0" y="45488"/>
            <a:ext cx="15512143" cy="5765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 name="Retângulo 9">
            <a:extLst>
              <a:ext uri="{FF2B5EF4-FFF2-40B4-BE49-F238E27FC236}">
                <a16:creationId xmlns:a16="http://schemas.microsoft.com/office/drawing/2014/main" id="{00000000-0008-0000-0000-00000A000000}"/>
              </a:ext>
            </a:extLst>
          </xdr:cNvPr>
          <xdr:cNvSpPr/>
        </xdr:nvSpPr>
        <xdr:spPr>
          <a:xfrm>
            <a:off x="11841710" y="0"/>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145676</xdr:colOff>
      <xdr:row>0</xdr:row>
      <xdr:rowOff>42582</xdr:rowOff>
    </xdr:from>
    <xdr:to>
      <xdr:col>0</xdr:col>
      <xdr:colOff>507626</xdr:colOff>
      <xdr:row>1</xdr:row>
      <xdr:rowOff>115420</xdr:rowOff>
    </xdr:to>
    <xdr:pic>
      <xdr:nvPicPr>
        <xdr:cNvPr id="3" name="Gráfico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5676" y="42582"/>
          <a:ext cx="361950" cy="358588"/>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5489A-3F95-40EB-94FF-957F435B910F}">
  <sheetPr codeName="Planilha1"/>
  <dimension ref="A1:AR61"/>
  <sheetViews>
    <sheetView showGridLines="0" showRowColHeaders="0" tabSelected="1" zoomScale="98" zoomScaleNormal="98" workbookViewId="0">
      <selection activeCell="C5" sqref="C5:S7"/>
    </sheetView>
  </sheetViews>
  <sheetFormatPr defaultColWidth="0" defaultRowHeight="15" zeroHeight="1" x14ac:dyDescent="0.25"/>
  <cols>
    <col min="1" max="1" width="0.5703125" customWidth="1"/>
    <col min="2" max="2" width="8.7109375" customWidth="1"/>
    <col min="3" max="3" width="0.28515625" customWidth="1"/>
    <col min="4" max="13" width="11.7109375" customWidth="1"/>
    <col min="14" max="14" width="1.85546875" customWidth="1"/>
    <col min="15" max="19" width="6.7109375" customWidth="1"/>
    <col min="20" max="20" width="2.28515625" customWidth="1"/>
    <col min="21" max="21" width="13.7109375" customWidth="1"/>
    <col min="22" max="42" width="9.140625" customWidth="1"/>
    <col min="43" max="44" width="0" hidden="1" customWidth="1"/>
    <col min="45" max="16384" width="9.140625" hidden="1"/>
  </cols>
  <sheetData>
    <row r="1" spans="1:44" ht="2.25" customHeight="1" x14ac:dyDescent="0.25">
      <c r="A1" s="16"/>
      <c r="B1" s="16"/>
      <c r="C1" s="16"/>
      <c r="D1" s="16"/>
      <c r="E1" s="16"/>
      <c r="F1" s="16"/>
      <c r="G1" s="16"/>
      <c r="H1" s="16"/>
      <c r="I1" s="16"/>
      <c r="J1" s="16"/>
      <c r="K1" s="16"/>
      <c r="L1" s="16"/>
      <c r="M1" s="16"/>
      <c r="N1" s="16"/>
      <c r="O1" s="16"/>
      <c r="P1" s="16"/>
      <c r="Q1" s="16"/>
      <c r="R1" s="16"/>
      <c r="S1" s="16"/>
      <c r="T1" s="16"/>
      <c r="U1" s="16"/>
      <c r="V1" s="16"/>
      <c r="W1" s="1"/>
      <c r="X1" s="1"/>
      <c r="Y1" s="1"/>
      <c r="Z1" s="1"/>
      <c r="AA1" s="1"/>
      <c r="AB1" s="1"/>
      <c r="AC1" s="1"/>
      <c r="AD1" s="1"/>
      <c r="AE1" s="1"/>
      <c r="AF1" s="1"/>
      <c r="AG1" s="1"/>
      <c r="AH1" s="1"/>
      <c r="AI1" s="1"/>
      <c r="AJ1" s="1"/>
      <c r="AK1" s="1"/>
      <c r="AL1" s="1"/>
      <c r="AM1" s="1"/>
      <c r="AN1" s="1"/>
      <c r="AO1" s="1"/>
      <c r="AP1" s="1"/>
      <c r="AQ1" s="1"/>
      <c r="AR1" s="1"/>
    </row>
    <row r="2" spans="1:44" x14ac:dyDescent="0.25">
      <c r="A2" s="16"/>
      <c r="B2" s="16"/>
      <c r="C2" s="16"/>
      <c r="D2" s="16"/>
      <c r="E2" s="16"/>
      <c r="F2" s="16"/>
      <c r="G2" s="16"/>
      <c r="H2" s="16"/>
      <c r="I2" s="16"/>
      <c r="J2" s="16"/>
      <c r="K2" s="16"/>
      <c r="L2" s="16"/>
      <c r="M2" s="16"/>
      <c r="N2" s="16"/>
      <c r="O2" s="16"/>
      <c r="P2" s="16"/>
      <c r="Q2" s="16"/>
      <c r="R2" s="16"/>
      <c r="S2" s="16"/>
      <c r="T2" s="16"/>
      <c r="U2" s="16"/>
      <c r="V2" s="16"/>
      <c r="W2" s="1"/>
      <c r="X2" s="1"/>
      <c r="Y2" s="1"/>
      <c r="Z2" s="1"/>
      <c r="AA2" s="1"/>
      <c r="AB2" s="1"/>
      <c r="AC2" s="1"/>
      <c r="AD2" s="1"/>
      <c r="AE2" s="1"/>
      <c r="AF2" s="1"/>
      <c r="AG2" s="1"/>
      <c r="AH2" s="1"/>
      <c r="AI2" s="1"/>
      <c r="AJ2" s="1"/>
      <c r="AK2" s="1"/>
      <c r="AL2" s="1"/>
      <c r="AM2" s="1"/>
      <c r="AN2" s="1"/>
      <c r="AO2" s="1"/>
      <c r="AP2" s="1"/>
      <c r="AQ2" s="1"/>
      <c r="AR2" s="1"/>
    </row>
    <row r="3" spans="1:44" x14ac:dyDescent="0.25">
      <c r="A3" s="16"/>
      <c r="B3" s="16"/>
      <c r="C3" s="16"/>
      <c r="D3" s="16"/>
      <c r="E3" s="16"/>
      <c r="F3" s="16"/>
      <c r="G3" s="16"/>
      <c r="H3" s="16"/>
      <c r="I3" s="16"/>
      <c r="J3" s="16"/>
      <c r="K3" s="16"/>
      <c r="L3" s="16"/>
      <c r="M3" s="16"/>
      <c r="N3" s="16"/>
      <c r="O3" s="16"/>
      <c r="P3" s="16"/>
      <c r="Q3" s="16"/>
      <c r="R3" s="16"/>
      <c r="S3" s="16"/>
      <c r="T3" s="16"/>
      <c r="U3" s="16"/>
      <c r="V3" s="16"/>
      <c r="W3" s="1"/>
      <c r="X3" s="1"/>
      <c r="Y3" s="1"/>
      <c r="Z3" s="1"/>
      <c r="AA3" s="1"/>
      <c r="AB3" s="1"/>
      <c r="AC3" s="1"/>
      <c r="AD3" s="1"/>
      <c r="AE3" s="1"/>
      <c r="AF3" s="1"/>
      <c r="AG3" s="1"/>
      <c r="AH3" s="1"/>
      <c r="AI3" s="1"/>
      <c r="AJ3" s="1"/>
      <c r="AK3" s="1"/>
      <c r="AL3" s="1"/>
      <c r="AM3" s="1"/>
      <c r="AN3" s="1"/>
      <c r="AO3" s="1"/>
      <c r="AP3" s="1"/>
      <c r="AQ3" s="1"/>
      <c r="AR3" s="1"/>
    </row>
    <row r="4" spans="1:44" ht="15.75" thickBot="1" x14ac:dyDescent="0.3">
      <c r="A4" s="16"/>
      <c r="B4" s="16"/>
      <c r="C4" s="16"/>
      <c r="D4" s="16"/>
      <c r="E4" s="16"/>
      <c r="F4" s="16"/>
      <c r="G4" s="16"/>
      <c r="H4" s="16"/>
      <c r="I4" s="16"/>
      <c r="J4" s="16"/>
      <c r="K4" s="16"/>
      <c r="L4" s="16"/>
      <c r="M4" s="16"/>
      <c r="N4" s="16"/>
      <c r="O4" s="16"/>
      <c r="P4" s="16"/>
      <c r="Q4" s="16"/>
      <c r="R4" s="16"/>
      <c r="S4" s="16"/>
      <c r="T4" s="16"/>
      <c r="U4" s="16"/>
      <c r="V4" s="16"/>
      <c r="W4" s="1"/>
      <c r="X4" s="1"/>
      <c r="Y4" s="1"/>
      <c r="Z4" s="1"/>
      <c r="AA4" s="1"/>
      <c r="AB4" s="1"/>
      <c r="AC4" s="1"/>
      <c r="AD4" s="1"/>
      <c r="AE4" s="1"/>
      <c r="AF4" s="1"/>
      <c r="AG4" s="1"/>
      <c r="AH4" s="1"/>
      <c r="AI4" s="1"/>
      <c r="AJ4" s="1"/>
      <c r="AK4" s="1"/>
      <c r="AL4" s="1"/>
      <c r="AM4" s="1"/>
      <c r="AN4" s="1"/>
      <c r="AO4" s="1"/>
      <c r="AP4" s="1"/>
      <c r="AQ4" s="1"/>
      <c r="AR4" s="1"/>
    </row>
    <row r="5" spans="1:44" ht="17.25" customHeight="1" thickTop="1" x14ac:dyDescent="0.25">
      <c r="A5" s="16"/>
      <c r="B5" s="16"/>
      <c r="C5" s="44"/>
      <c r="D5" s="45"/>
      <c r="E5" s="45"/>
      <c r="F5" s="45"/>
      <c r="G5" s="45"/>
      <c r="H5" s="45"/>
      <c r="I5" s="45"/>
      <c r="J5" s="45"/>
      <c r="K5" s="45"/>
      <c r="L5" s="45"/>
      <c r="M5" s="45"/>
      <c r="N5" s="45"/>
      <c r="O5" s="45"/>
      <c r="P5" s="45"/>
      <c r="Q5" s="45"/>
      <c r="R5" s="45"/>
      <c r="S5" s="46"/>
      <c r="T5" s="16"/>
      <c r="U5" s="40" t="s">
        <v>16</v>
      </c>
      <c r="V5" s="16"/>
      <c r="W5" s="1"/>
      <c r="X5" s="1"/>
      <c r="Y5" s="1"/>
      <c r="Z5" s="1"/>
      <c r="AA5" s="1"/>
      <c r="AB5" s="1"/>
      <c r="AC5" s="1"/>
      <c r="AD5" s="1"/>
      <c r="AE5" s="1"/>
      <c r="AF5" s="1"/>
      <c r="AG5" s="1"/>
      <c r="AH5" s="1"/>
      <c r="AI5" s="1"/>
      <c r="AJ5" s="1"/>
      <c r="AK5" s="1"/>
      <c r="AL5" s="1"/>
      <c r="AM5" s="1"/>
      <c r="AN5" s="1"/>
      <c r="AO5" s="1"/>
      <c r="AP5" s="1"/>
      <c r="AQ5" s="1"/>
      <c r="AR5" s="1"/>
    </row>
    <row r="6" spans="1:44" ht="17.25" customHeight="1" x14ac:dyDescent="0.25">
      <c r="A6" s="16"/>
      <c r="B6" s="16"/>
      <c r="C6" s="47"/>
      <c r="D6" s="48"/>
      <c r="E6" s="48"/>
      <c r="F6" s="48"/>
      <c r="G6" s="48"/>
      <c r="H6" s="48"/>
      <c r="I6" s="48"/>
      <c r="J6" s="48"/>
      <c r="K6" s="48"/>
      <c r="L6" s="48"/>
      <c r="M6" s="48"/>
      <c r="N6" s="48"/>
      <c r="O6" s="48"/>
      <c r="P6" s="48"/>
      <c r="Q6" s="48"/>
      <c r="R6" s="48"/>
      <c r="S6" s="49"/>
      <c r="T6" s="16"/>
      <c r="U6" s="40"/>
      <c r="V6" s="16"/>
      <c r="W6" s="1"/>
      <c r="X6" s="1"/>
      <c r="Y6" s="1"/>
      <c r="Z6" s="1"/>
      <c r="AA6" s="1"/>
      <c r="AB6" s="1"/>
      <c r="AC6" s="1"/>
      <c r="AD6" s="1"/>
      <c r="AE6" s="1"/>
      <c r="AF6" s="1"/>
      <c r="AG6" s="1"/>
      <c r="AH6" s="1"/>
      <c r="AI6" s="1"/>
      <c r="AJ6" s="1"/>
      <c r="AK6" s="1"/>
      <c r="AL6" s="1"/>
      <c r="AM6" s="1"/>
      <c r="AN6" s="1"/>
      <c r="AO6" s="1"/>
      <c r="AP6" s="1"/>
      <c r="AQ6" s="1"/>
      <c r="AR6" s="1"/>
    </row>
    <row r="7" spans="1:44" ht="17.25" customHeight="1" thickBot="1" x14ac:dyDescent="0.3">
      <c r="A7" s="16"/>
      <c r="B7" s="16"/>
      <c r="C7" s="50"/>
      <c r="D7" s="51"/>
      <c r="E7" s="51"/>
      <c r="F7" s="51"/>
      <c r="G7" s="51"/>
      <c r="H7" s="51"/>
      <c r="I7" s="51"/>
      <c r="J7" s="51"/>
      <c r="K7" s="51"/>
      <c r="L7" s="51"/>
      <c r="M7" s="51"/>
      <c r="N7" s="51"/>
      <c r="O7" s="51"/>
      <c r="P7" s="51"/>
      <c r="Q7" s="51"/>
      <c r="R7" s="51"/>
      <c r="S7" s="52"/>
      <c r="T7" s="16"/>
      <c r="U7" s="25" t="s">
        <v>27</v>
      </c>
      <c r="V7" s="16"/>
      <c r="W7" s="1"/>
      <c r="X7" s="1"/>
      <c r="Y7" s="1"/>
      <c r="Z7" s="1"/>
      <c r="AA7" s="1"/>
      <c r="AB7" s="1"/>
      <c r="AC7" s="1"/>
      <c r="AD7" s="1"/>
      <c r="AE7" s="1"/>
      <c r="AF7" s="1"/>
      <c r="AG7" s="1"/>
      <c r="AH7" s="1"/>
      <c r="AI7" s="1"/>
      <c r="AJ7" s="1"/>
      <c r="AK7" s="1"/>
      <c r="AL7" s="1"/>
      <c r="AM7" s="1"/>
      <c r="AN7" s="1"/>
      <c r="AO7" s="1"/>
      <c r="AP7" s="1"/>
      <c r="AQ7" s="1"/>
      <c r="AR7" s="1"/>
    </row>
    <row r="8" spans="1:44" ht="0.75" customHeight="1" thickTop="1" x14ac:dyDescent="0.25">
      <c r="A8" s="16"/>
      <c r="B8" s="16"/>
      <c r="C8" s="16" t="s">
        <v>26</v>
      </c>
      <c r="D8" s="16"/>
      <c r="E8" s="16"/>
      <c r="F8" s="16"/>
      <c r="G8" s="16"/>
      <c r="H8" s="16"/>
      <c r="I8" s="16"/>
      <c r="J8" s="16"/>
      <c r="K8" s="16"/>
      <c r="L8" s="16"/>
      <c r="M8" s="16"/>
      <c r="N8" s="16"/>
      <c r="O8" s="16"/>
      <c r="P8" s="16"/>
      <c r="Q8" s="16"/>
      <c r="R8" s="16"/>
      <c r="S8" s="16"/>
      <c r="T8" s="16"/>
      <c r="U8" s="16"/>
      <c r="V8" s="16"/>
      <c r="W8" s="1"/>
      <c r="X8" s="1"/>
      <c r="Y8" s="1"/>
      <c r="Z8" s="1"/>
      <c r="AA8" s="1"/>
      <c r="AB8" s="1"/>
      <c r="AC8" s="1"/>
      <c r="AD8" s="1"/>
      <c r="AE8" s="1"/>
      <c r="AF8" s="1"/>
      <c r="AG8" s="1"/>
      <c r="AH8" s="1"/>
      <c r="AI8" s="1"/>
      <c r="AJ8" s="1"/>
      <c r="AK8" s="1"/>
      <c r="AL8" s="1"/>
      <c r="AM8" s="1"/>
      <c r="AN8" s="1"/>
      <c r="AO8" s="1"/>
      <c r="AP8" s="1"/>
      <c r="AQ8" s="1"/>
      <c r="AR8" s="1"/>
    </row>
    <row r="9" spans="1:44" ht="16.5" customHeight="1" x14ac:dyDescent="0.25">
      <c r="A9" s="16"/>
      <c r="B9" s="16"/>
      <c r="C9" s="16"/>
      <c r="D9" s="16"/>
      <c r="E9" s="16"/>
      <c r="F9" s="16"/>
      <c r="G9" s="16"/>
      <c r="H9" s="41" t="str">
        <f>IF(ISBLANK(C5),"",'P01'!WZT17)</f>
        <v/>
      </c>
      <c r="I9" s="41"/>
      <c r="J9" s="41"/>
      <c r="K9" s="41"/>
      <c r="L9" s="41"/>
      <c r="M9" s="41"/>
      <c r="N9" s="16"/>
      <c r="O9" s="16"/>
      <c r="P9" s="16"/>
      <c r="Q9" s="16"/>
      <c r="R9" s="16"/>
      <c r="S9" s="16"/>
      <c r="T9" s="16"/>
      <c r="U9" s="16"/>
      <c r="V9" s="16"/>
      <c r="W9" s="1"/>
      <c r="X9" s="1"/>
      <c r="Y9" s="1"/>
      <c r="Z9" s="1"/>
      <c r="AA9" s="1"/>
      <c r="AB9" s="1"/>
      <c r="AC9" s="1"/>
      <c r="AD9" s="1"/>
      <c r="AE9" s="1"/>
      <c r="AF9" s="1"/>
      <c r="AG9" s="1"/>
      <c r="AH9" s="1"/>
      <c r="AI9" s="1"/>
      <c r="AJ9" s="1"/>
      <c r="AK9" s="1"/>
      <c r="AL9" s="1"/>
      <c r="AM9" s="1"/>
      <c r="AN9" s="1"/>
      <c r="AO9" s="1"/>
      <c r="AP9" s="1"/>
      <c r="AQ9" s="1"/>
      <c r="AR9" s="1"/>
    </row>
    <row r="10" spans="1:44" ht="3.75" customHeight="1" x14ac:dyDescent="0.25">
      <c r="A10" s="16"/>
      <c r="B10" s="16"/>
      <c r="C10" s="16"/>
      <c r="D10" s="16"/>
      <c r="E10" s="16"/>
      <c r="F10" s="16"/>
      <c r="G10" s="16"/>
      <c r="H10" s="16"/>
      <c r="I10" s="16"/>
      <c r="J10" s="16"/>
      <c r="K10" s="16"/>
      <c r="L10" s="16"/>
      <c r="M10" s="16"/>
      <c r="N10" s="16"/>
      <c r="O10" s="16"/>
      <c r="P10" s="16"/>
      <c r="Q10" s="16"/>
      <c r="R10" s="16"/>
      <c r="S10" s="16"/>
      <c r="T10" s="16"/>
      <c r="U10" s="16"/>
      <c r="V10" s="16"/>
      <c r="W10" s="1"/>
      <c r="X10" s="1"/>
      <c r="Y10" s="1"/>
      <c r="Z10" s="1"/>
      <c r="AA10" s="1"/>
      <c r="AB10" s="1"/>
      <c r="AC10" s="1"/>
      <c r="AD10" s="1"/>
      <c r="AE10" s="1"/>
      <c r="AF10" s="1"/>
      <c r="AG10" s="1"/>
      <c r="AH10" s="1"/>
      <c r="AI10" s="1"/>
      <c r="AJ10" s="1"/>
      <c r="AK10" s="1"/>
      <c r="AL10" s="1"/>
      <c r="AM10" s="1"/>
      <c r="AN10" s="1"/>
      <c r="AO10" s="1"/>
      <c r="AP10" s="1"/>
      <c r="AQ10" s="1"/>
      <c r="AR10" s="1"/>
    </row>
    <row r="11" spans="1:44" ht="18.75" customHeight="1" x14ac:dyDescent="0.25">
      <c r="A11" s="16"/>
      <c r="B11" s="39" t="str">
        <f>'P01'!WZR7</f>
        <v/>
      </c>
      <c r="C11" s="42" t="str">
        <f>'P01'!WZT7</f>
        <v/>
      </c>
      <c r="D11" s="42"/>
      <c r="E11" s="42"/>
      <c r="F11" s="42"/>
      <c r="G11" s="42"/>
      <c r="H11" s="42"/>
      <c r="I11" s="42"/>
      <c r="J11" s="42"/>
      <c r="K11" s="42"/>
      <c r="L11" s="42"/>
      <c r="M11" s="42"/>
      <c r="N11" s="16"/>
      <c r="O11" s="42" t="str">
        <f>'P01'!WZU7</f>
        <v/>
      </c>
      <c r="P11" s="42"/>
      <c r="Q11" s="42"/>
      <c r="R11" s="42"/>
      <c r="S11" s="42"/>
      <c r="T11" s="42"/>
      <c r="U11" s="42"/>
      <c r="V11" s="16"/>
      <c r="W11" s="1"/>
      <c r="X11" s="1"/>
      <c r="Y11" s="1"/>
      <c r="Z11" s="1"/>
      <c r="AA11" s="1"/>
      <c r="AB11" s="1"/>
      <c r="AC11" s="1"/>
      <c r="AD11" s="1"/>
      <c r="AE11" s="1"/>
      <c r="AF11" s="1"/>
      <c r="AG11" s="1"/>
      <c r="AH11" s="1"/>
      <c r="AI11" s="1"/>
      <c r="AJ11" s="1"/>
      <c r="AK11" s="1"/>
      <c r="AL11" s="1"/>
      <c r="AM11" s="1"/>
      <c r="AN11" s="1"/>
      <c r="AO11" s="1"/>
      <c r="AP11" s="1"/>
      <c r="AQ11" s="1"/>
      <c r="AR11" s="1"/>
    </row>
    <row r="12" spans="1:44" ht="18.75" customHeight="1" x14ac:dyDescent="0.25">
      <c r="A12" s="16"/>
      <c r="B12" s="39"/>
      <c r="C12" s="42"/>
      <c r="D12" s="42"/>
      <c r="E12" s="42"/>
      <c r="F12" s="42"/>
      <c r="G12" s="42"/>
      <c r="H12" s="42"/>
      <c r="I12" s="42"/>
      <c r="J12" s="42"/>
      <c r="K12" s="42"/>
      <c r="L12" s="42"/>
      <c r="M12" s="42"/>
      <c r="N12" s="16"/>
      <c r="O12" s="42"/>
      <c r="P12" s="42"/>
      <c r="Q12" s="42"/>
      <c r="R12" s="42"/>
      <c r="S12" s="42"/>
      <c r="T12" s="42"/>
      <c r="U12" s="42"/>
      <c r="V12" s="16"/>
      <c r="W12" s="1"/>
      <c r="X12" s="1"/>
      <c r="Y12" s="1"/>
      <c r="Z12" s="1"/>
      <c r="AA12" s="1"/>
      <c r="AB12" s="1"/>
      <c r="AC12" s="1"/>
      <c r="AD12" s="1"/>
      <c r="AE12" s="1"/>
      <c r="AF12" s="1"/>
      <c r="AG12" s="1"/>
      <c r="AH12" s="1"/>
      <c r="AI12" s="1"/>
      <c r="AJ12" s="1"/>
      <c r="AK12" s="1"/>
      <c r="AL12" s="1"/>
      <c r="AM12" s="1"/>
      <c r="AN12" s="1"/>
      <c r="AO12" s="1"/>
      <c r="AP12" s="1"/>
      <c r="AQ12" s="1"/>
      <c r="AR12" s="1"/>
    </row>
    <row r="13" spans="1:44" ht="18.75" customHeight="1" x14ac:dyDescent="0.25">
      <c r="A13" s="16"/>
      <c r="B13" s="16"/>
      <c r="C13" s="42"/>
      <c r="D13" s="42"/>
      <c r="E13" s="42"/>
      <c r="F13" s="42"/>
      <c r="G13" s="42"/>
      <c r="H13" s="42"/>
      <c r="I13" s="42"/>
      <c r="J13" s="42"/>
      <c r="K13" s="42"/>
      <c r="L13" s="42"/>
      <c r="M13" s="42"/>
      <c r="N13" s="16"/>
      <c r="O13" s="42"/>
      <c r="P13" s="42"/>
      <c r="Q13" s="42"/>
      <c r="R13" s="42"/>
      <c r="S13" s="42"/>
      <c r="T13" s="42"/>
      <c r="U13" s="42"/>
      <c r="V13" s="16"/>
      <c r="W13" s="1"/>
      <c r="X13" s="1"/>
      <c r="Y13" s="1"/>
      <c r="Z13" s="1"/>
      <c r="AA13" s="1"/>
      <c r="AB13" s="1"/>
      <c r="AC13" s="1"/>
      <c r="AD13" s="1"/>
      <c r="AE13" s="1"/>
      <c r="AF13" s="1"/>
      <c r="AG13" s="1"/>
      <c r="AH13" s="1"/>
      <c r="AI13" s="1"/>
      <c r="AJ13" s="1"/>
      <c r="AK13" s="1"/>
      <c r="AL13" s="1"/>
      <c r="AM13" s="1"/>
      <c r="AN13" s="1"/>
      <c r="AO13" s="1"/>
      <c r="AP13" s="1"/>
      <c r="AQ13" s="1"/>
      <c r="AR13" s="1"/>
    </row>
    <row r="14" spans="1:44" ht="18.75" customHeight="1" x14ac:dyDescent="0.25">
      <c r="A14" s="16"/>
      <c r="B14" s="16"/>
      <c r="C14" s="42"/>
      <c r="D14" s="42"/>
      <c r="E14" s="42"/>
      <c r="F14" s="42"/>
      <c r="G14" s="42"/>
      <c r="H14" s="42"/>
      <c r="I14" s="42"/>
      <c r="J14" s="42"/>
      <c r="K14" s="42"/>
      <c r="L14" s="42"/>
      <c r="M14" s="42"/>
      <c r="N14" s="16"/>
      <c r="O14" s="42"/>
      <c r="P14" s="42"/>
      <c r="Q14" s="42"/>
      <c r="R14" s="42"/>
      <c r="S14" s="42"/>
      <c r="T14" s="42"/>
      <c r="U14" s="42"/>
      <c r="V14" s="16"/>
      <c r="W14" s="1"/>
      <c r="X14" s="1"/>
      <c r="Y14" s="1"/>
      <c r="Z14" s="1"/>
      <c r="AA14" s="1"/>
      <c r="AB14" s="1"/>
      <c r="AC14" s="1"/>
      <c r="AD14" s="1"/>
      <c r="AE14" s="1"/>
      <c r="AF14" s="1"/>
      <c r="AG14" s="1"/>
      <c r="AH14" s="1"/>
      <c r="AI14" s="1"/>
      <c r="AJ14" s="1"/>
      <c r="AK14" s="1"/>
      <c r="AL14" s="1"/>
      <c r="AM14" s="1"/>
      <c r="AN14" s="1"/>
      <c r="AO14" s="1"/>
      <c r="AP14" s="1"/>
      <c r="AQ14" s="1"/>
      <c r="AR14" s="1"/>
    </row>
    <row r="15" spans="1:44" ht="18.75" customHeight="1" x14ac:dyDescent="0.25">
      <c r="A15" s="16"/>
      <c r="B15" s="16"/>
      <c r="C15" s="42"/>
      <c r="D15" s="42"/>
      <c r="E15" s="42"/>
      <c r="F15" s="42"/>
      <c r="G15" s="42"/>
      <c r="H15" s="42"/>
      <c r="I15" s="42"/>
      <c r="J15" s="42"/>
      <c r="K15" s="42"/>
      <c r="L15" s="42"/>
      <c r="M15" s="42"/>
      <c r="N15" s="16"/>
      <c r="O15" s="42"/>
      <c r="P15" s="42"/>
      <c r="Q15" s="42"/>
      <c r="R15" s="42"/>
      <c r="S15" s="42"/>
      <c r="T15" s="42"/>
      <c r="U15" s="42"/>
      <c r="V15" s="16"/>
      <c r="W15" s="1"/>
      <c r="X15" s="1"/>
      <c r="Y15" s="1"/>
      <c r="Z15" s="1"/>
      <c r="AA15" s="1"/>
      <c r="AB15" s="1"/>
      <c r="AC15" s="1"/>
      <c r="AD15" s="1"/>
      <c r="AE15" s="1"/>
      <c r="AF15" s="1"/>
      <c r="AG15" s="1"/>
      <c r="AH15" s="1"/>
      <c r="AI15" s="1"/>
      <c r="AJ15" s="1"/>
      <c r="AK15" s="1"/>
      <c r="AL15" s="1"/>
      <c r="AM15" s="1"/>
      <c r="AN15" s="1"/>
      <c r="AO15" s="1"/>
      <c r="AP15" s="1"/>
      <c r="AQ15" s="1"/>
      <c r="AR15" s="1"/>
    </row>
    <row r="16" spans="1:44" ht="18.75" customHeight="1" x14ac:dyDescent="0.25">
      <c r="A16" s="16"/>
      <c r="B16" s="16"/>
      <c r="C16" s="42"/>
      <c r="D16" s="42"/>
      <c r="E16" s="42"/>
      <c r="F16" s="42"/>
      <c r="G16" s="42"/>
      <c r="H16" s="42"/>
      <c r="I16" s="42"/>
      <c r="J16" s="42"/>
      <c r="K16" s="42"/>
      <c r="L16" s="42"/>
      <c r="M16" s="42"/>
      <c r="N16" s="16"/>
      <c r="O16" s="42"/>
      <c r="P16" s="42"/>
      <c r="Q16" s="42"/>
      <c r="R16" s="42"/>
      <c r="S16" s="42"/>
      <c r="T16" s="42"/>
      <c r="U16" s="42"/>
      <c r="V16" s="16"/>
      <c r="W16" s="1"/>
      <c r="X16" s="1"/>
      <c r="Y16" s="1"/>
      <c r="Z16" s="1"/>
      <c r="AA16" s="1"/>
      <c r="AB16" s="1"/>
      <c r="AC16" s="1"/>
      <c r="AD16" s="1"/>
      <c r="AE16" s="1"/>
      <c r="AF16" s="1"/>
      <c r="AG16" s="1"/>
      <c r="AH16" s="1"/>
      <c r="AI16" s="1"/>
      <c r="AJ16" s="1"/>
      <c r="AK16" s="1"/>
      <c r="AL16" s="1"/>
      <c r="AM16" s="1"/>
      <c r="AN16" s="1"/>
      <c r="AO16" s="1"/>
      <c r="AP16" s="1"/>
      <c r="AQ16" s="1"/>
      <c r="AR16" s="1"/>
    </row>
    <row r="17" spans="1:44" ht="9" customHeight="1" x14ac:dyDescent="0.25">
      <c r="A17" s="16"/>
      <c r="B17" s="16"/>
      <c r="C17" s="16"/>
      <c r="D17" s="16"/>
      <c r="E17" s="16"/>
      <c r="F17" s="16"/>
      <c r="G17" s="16"/>
      <c r="H17" s="16"/>
      <c r="I17" s="16"/>
      <c r="J17" s="16"/>
      <c r="K17" s="16"/>
      <c r="L17" s="16"/>
      <c r="M17" s="16"/>
      <c r="N17" s="16"/>
      <c r="O17" s="16"/>
      <c r="P17" s="16"/>
      <c r="Q17" s="16"/>
      <c r="R17" s="16"/>
      <c r="S17" s="16"/>
      <c r="T17" s="16"/>
      <c r="U17" s="16"/>
      <c r="V17" s="16"/>
      <c r="W17" s="1"/>
      <c r="X17" s="1"/>
      <c r="Y17" s="1"/>
      <c r="Z17" s="1"/>
      <c r="AA17" s="1"/>
      <c r="AB17" s="1"/>
      <c r="AC17" s="1"/>
      <c r="AD17" s="1"/>
      <c r="AE17" s="1"/>
      <c r="AF17" s="1"/>
      <c r="AG17" s="1"/>
      <c r="AH17" s="1"/>
      <c r="AI17" s="1"/>
      <c r="AJ17" s="1"/>
      <c r="AK17" s="1"/>
      <c r="AL17" s="1"/>
      <c r="AM17" s="1"/>
      <c r="AN17" s="1"/>
      <c r="AO17" s="1"/>
      <c r="AP17" s="1"/>
      <c r="AQ17" s="1"/>
      <c r="AR17" s="1"/>
    </row>
    <row r="18" spans="1:44" ht="18.75" customHeight="1" x14ac:dyDescent="0.25">
      <c r="A18" s="16"/>
      <c r="B18" s="39" t="str">
        <f>'P01'!WZR8</f>
        <v/>
      </c>
      <c r="C18" s="42" t="str">
        <f>'P01'!WZT8</f>
        <v/>
      </c>
      <c r="D18" s="42"/>
      <c r="E18" s="42"/>
      <c r="F18" s="42"/>
      <c r="G18" s="42"/>
      <c r="H18" s="42"/>
      <c r="I18" s="42"/>
      <c r="J18" s="42"/>
      <c r="K18" s="42"/>
      <c r="L18" s="42"/>
      <c r="M18" s="42"/>
      <c r="N18" s="16"/>
      <c r="O18" s="43" t="str">
        <f>'P01'!WZU8</f>
        <v/>
      </c>
      <c r="P18" s="43"/>
      <c r="Q18" s="43"/>
      <c r="R18" s="43"/>
      <c r="S18" s="43"/>
      <c r="T18" s="43"/>
      <c r="U18" s="43"/>
      <c r="V18" s="16"/>
      <c r="W18" s="1"/>
      <c r="X18" s="1"/>
      <c r="Y18" s="1"/>
      <c r="Z18" s="1"/>
      <c r="AA18" s="1"/>
      <c r="AB18" s="1"/>
      <c r="AC18" s="1"/>
      <c r="AD18" s="1"/>
      <c r="AE18" s="1"/>
      <c r="AF18" s="1"/>
      <c r="AG18" s="1"/>
      <c r="AH18" s="1"/>
      <c r="AI18" s="1"/>
      <c r="AJ18" s="1"/>
      <c r="AK18" s="1"/>
      <c r="AL18" s="1"/>
      <c r="AM18" s="1"/>
      <c r="AN18" s="1"/>
      <c r="AO18" s="1"/>
      <c r="AP18" s="1"/>
      <c r="AQ18" s="1"/>
      <c r="AR18" s="1"/>
    </row>
    <row r="19" spans="1:44" ht="18.75" customHeight="1" x14ac:dyDescent="0.25">
      <c r="A19" s="16"/>
      <c r="B19" s="39"/>
      <c r="C19" s="42"/>
      <c r="D19" s="42"/>
      <c r="E19" s="42"/>
      <c r="F19" s="42"/>
      <c r="G19" s="42"/>
      <c r="H19" s="42"/>
      <c r="I19" s="42"/>
      <c r="J19" s="42"/>
      <c r="K19" s="42"/>
      <c r="L19" s="42"/>
      <c r="M19" s="42"/>
      <c r="N19" s="16"/>
      <c r="O19" s="43"/>
      <c r="P19" s="43"/>
      <c r="Q19" s="43"/>
      <c r="R19" s="43"/>
      <c r="S19" s="43"/>
      <c r="T19" s="43"/>
      <c r="U19" s="43"/>
      <c r="V19" s="16"/>
      <c r="W19" s="1"/>
      <c r="X19" s="1"/>
      <c r="Y19" s="1"/>
      <c r="Z19" s="1"/>
      <c r="AA19" s="1"/>
      <c r="AB19" s="1"/>
      <c r="AC19" s="1"/>
      <c r="AD19" s="1"/>
      <c r="AE19" s="1"/>
      <c r="AF19" s="1"/>
      <c r="AG19" s="1"/>
      <c r="AH19" s="1"/>
      <c r="AI19" s="1"/>
      <c r="AJ19" s="1"/>
      <c r="AK19" s="1"/>
      <c r="AL19" s="1"/>
      <c r="AM19" s="1"/>
      <c r="AN19" s="1"/>
      <c r="AO19" s="1"/>
      <c r="AP19" s="1"/>
      <c r="AQ19" s="1"/>
      <c r="AR19" s="1"/>
    </row>
    <row r="20" spans="1:44" ht="18.75" customHeight="1" x14ac:dyDescent="0.25">
      <c r="A20" s="16"/>
      <c r="B20" s="16"/>
      <c r="C20" s="42"/>
      <c r="D20" s="42"/>
      <c r="E20" s="42"/>
      <c r="F20" s="42"/>
      <c r="G20" s="42"/>
      <c r="H20" s="42"/>
      <c r="I20" s="42"/>
      <c r="J20" s="42"/>
      <c r="K20" s="42"/>
      <c r="L20" s="42"/>
      <c r="M20" s="42"/>
      <c r="N20" s="16"/>
      <c r="O20" s="43"/>
      <c r="P20" s="43"/>
      <c r="Q20" s="43"/>
      <c r="R20" s="43"/>
      <c r="S20" s="43"/>
      <c r="T20" s="43"/>
      <c r="U20" s="43"/>
      <c r="V20" s="16"/>
      <c r="W20" s="1"/>
      <c r="X20" s="1"/>
      <c r="Y20" s="1"/>
      <c r="Z20" s="1"/>
      <c r="AA20" s="1"/>
      <c r="AB20" s="1"/>
      <c r="AC20" s="1"/>
      <c r="AD20" s="1"/>
      <c r="AE20" s="1"/>
      <c r="AF20" s="1"/>
      <c r="AG20" s="1"/>
      <c r="AH20" s="1"/>
      <c r="AI20" s="1"/>
      <c r="AJ20" s="1"/>
      <c r="AK20" s="1"/>
      <c r="AL20" s="1"/>
      <c r="AM20" s="1"/>
      <c r="AN20" s="1"/>
      <c r="AO20" s="1"/>
      <c r="AP20" s="1"/>
      <c r="AQ20" s="1"/>
      <c r="AR20" s="1"/>
    </row>
    <row r="21" spans="1:44" ht="18.75" customHeight="1" x14ac:dyDescent="0.25">
      <c r="A21" s="16"/>
      <c r="B21" s="16"/>
      <c r="C21" s="42"/>
      <c r="D21" s="42"/>
      <c r="E21" s="42"/>
      <c r="F21" s="42"/>
      <c r="G21" s="42"/>
      <c r="H21" s="42"/>
      <c r="I21" s="42"/>
      <c r="J21" s="42"/>
      <c r="K21" s="42"/>
      <c r="L21" s="42"/>
      <c r="M21" s="42"/>
      <c r="N21" s="16"/>
      <c r="O21" s="43"/>
      <c r="P21" s="43"/>
      <c r="Q21" s="43"/>
      <c r="R21" s="43"/>
      <c r="S21" s="43"/>
      <c r="T21" s="43"/>
      <c r="U21" s="43"/>
      <c r="V21" s="16"/>
      <c r="W21" s="1"/>
      <c r="X21" s="1"/>
      <c r="Y21" s="1"/>
      <c r="Z21" s="1"/>
      <c r="AA21" s="1"/>
      <c r="AB21" s="1"/>
      <c r="AC21" s="1"/>
      <c r="AD21" s="1"/>
      <c r="AE21" s="1"/>
      <c r="AF21" s="1"/>
      <c r="AG21" s="1"/>
      <c r="AH21" s="1"/>
      <c r="AI21" s="1"/>
      <c r="AJ21" s="1"/>
      <c r="AK21" s="1"/>
      <c r="AL21" s="1"/>
      <c r="AM21" s="1"/>
      <c r="AN21" s="1"/>
      <c r="AO21" s="1"/>
      <c r="AP21" s="1"/>
      <c r="AQ21" s="1"/>
      <c r="AR21" s="1"/>
    </row>
    <row r="22" spans="1:44" ht="18.75" customHeight="1" x14ac:dyDescent="0.25">
      <c r="A22" s="16"/>
      <c r="B22" s="16"/>
      <c r="C22" s="42"/>
      <c r="D22" s="42"/>
      <c r="E22" s="42"/>
      <c r="F22" s="42"/>
      <c r="G22" s="42"/>
      <c r="H22" s="42"/>
      <c r="I22" s="42"/>
      <c r="J22" s="42"/>
      <c r="K22" s="42"/>
      <c r="L22" s="42"/>
      <c r="M22" s="42"/>
      <c r="N22" s="16"/>
      <c r="O22" s="43"/>
      <c r="P22" s="43"/>
      <c r="Q22" s="43"/>
      <c r="R22" s="43"/>
      <c r="S22" s="43"/>
      <c r="T22" s="43"/>
      <c r="U22" s="43"/>
      <c r="V22" s="16"/>
      <c r="W22" s="1"/>
      <c r="X22" s="1"/>
      <c r="Y22" s="1"/>
      <c r="Z22" s="1"/>
      <c r="AA22" s="1"/>
      <c r="AB22" s="1"/>
      <c r="AC22" s="1"/>
      <c r="AD22" s="1"/>
      <c r="AE22" s="1"/>
      <c r="AF22" s="1"/>
      <c r="AG22" s="1"/>
      <c r="AH22" s="1"/>
      <c r="AI22" s="1"/>
      <c r="AJ22" s="1"/>
      <c r="AK22" s="1"/>
      <c r="AL22" s="1"/>
      <c r="AM22" s="1"/>
      <c r="AN22" s="1"/>
      <c r="AO22" s="1"/>
      <c r="AP22" s="1"/>
      <c r="AQ22" s="1"/>
      <c r="AR22" s="1"/>
    </row>
    <row r="23" spans="1:44" ht="18.75" customHeight="1" x14ac:dyDescent="0.25">
      <c r="A23" s="16"/>
      <c r="B23" s="16"/>
      <c r="C23" s="42"/>
      <c r="D23" s="42"/>
      <c r="E23" s="42"/>
      <c r="F23" s="42"/>
      <c r="G23" s="42"/>
      <c r="H23" s="42"/>
      <c r="I23" s="42"/>
      <c r="J23" s="42"/>
      <c r="K23" s="42"/>
      <c r="L23" s="42"/>
      <c r="M23" s="42"/>
      <c r="N23" s="16"/>
      <c r="O23" s="43"/>
      <c r="P23" s="43"/>
      <c r="Q23" s="43"/>
      <c r="R23" s="43"/>
      <c r="S23" s="43"/>
      <c r="T23" s="43"/>
      <c r="U23" s="43"/>
      <c r="V23" s="16"/>
      <c r="W23" s="1"/>
      <c r="X23" s="1"/>
      <c r="Y23" s="1"/>
      <c r="Z23" s="1"/>
      <c r="AA23" s="1"/>
      <c r="AB23" s="1"/>
      <c r="AC23" s="1"/>
      <c r="AD23" s="1"/>
      <c r="AE23" s="1"/>
      <c r="AF23" s="1"/>
      <c r="AG23" s="1"/>
      <c r="AH23" s="1"/>
      <c r="AI23" s="1"/>
      <c r="AJ23" s="1"/>
      <c r="AK23" s="1"/>
      <c r="AL23" s="1"/>
      <c r="AM23" s="1"/>
      <c r="AN23" s="1"/>
      <c r="AO23" s="1"/>
      <c r="AP23" s="1"/>
      <c r="AQ23" s="1"/>
      <c r="AR23" s="1"/>
    </row>
    <row r="24" spans="1:44" ht="9" customHeight="1" x14ac:dyDescent="0.25">
      <c r="A24" s="16"/>
      <c r="B24" s="16"/>
      <c r="C24" s="16"/>
      <c r="D24" s="16"/>
      <c r="E24" s="16"/>
      <c r="F24" s="16"/>
      <c r="G24" s="16"/>
      <c r="H24" s="16"/>
      <c r="I24" s="16"/>
      <c r="J24" s="16"/>
      <c r="K24" s="16"/>
      <c r="L24" s="16"/>
      <c r="M24" s="16"/>
      <c r="N24" s="16"/>
      <c r="O24" s="16"/>
      <c r="P24" s="16"/>
      <c r="Q24" s="16"/>
      <c r="R24" s="16"/>
      <c r="S24" s="16"/>
      <c r="T24" s="16"/>
      <c r="U24" s="16"/>
      <c r="V24" s="16"/>
      <c r="W24" s="1"/>
      <c r="X24" s="1"/>
      <c r="Y24" s="1"/>
      <c r="Z24" s="1"/>
      <c r="AA24" s="1"/>
      <c r="AB24" s="1"/>
      <c r="AC24" s="1"/>
      <c r="AD24" s="1"/>
      <c r="AE24" s="1"/>
      <c r="AF24" s="1"/>
      <c r="AG24" s="1"/>
      <c r="AH24" s="1"/>
      <c r="AI24" s="1"/>
      <c r="AJ24" s="1"/>
      <c r="AK24" s="1"/>
      <c r="AL24" s="1"/>
      <c r="AM24" s="1"/>
      <c r="AN24" s="1"/>
      <c r="AO24" s="1"/>
      <c r="AP24" s="1"/>
      <c r="AQ24" s="1"/>
      <c r="AR24" s="1"/>
    </row>
    <row r="25" spans="1:44" ht="18.75" customHeight="1" x14ac:dyDescent="0.25">
      <c r="A25" s="16"/>
      <c r="B25" s="39" t="str">
        <f>'P01'!WZR9</f>
        <v/>
      </c>
      <c r="C25" s="42" t="str">
        <f>'P01'!WZT9</f>
        <v/>
      </c>
      <c r="D25" s="42"/>
      <c r="E25" s="42"/>
      <c r="F25" s="42"/>
      <c r="G25" s="42"/>
      <c r="H25" s="42"/>
      <c r="I25" s="42"/>
      <c r="J25" s="42"/>
      <c r="K25" s="42"/>
      <c r="L25" s="42"/>
      <c r="M25" s="42"/>
      <c r="N25" s="16"/>
      <c r="O25" s="43" t="str">
        <f>'P01'!WZU9</f>
        <v/>
      </c>
      <c r="P25" s="43"/>
      <c r="Q25" s="43"/>
      <c r="R25" s="43"/>
      <c r="S25" s="43"/>
      <c r="T25" s="43"/>
      <c r="U25" s="43"/>
      <c r="V25" s="16"/>
      <c r="W25" s="1"/>
      <c r="X25" s="1"/>
      <c r="Y25" s="1"/>
      <c r="Z25" s="1"/>
      <c r="AA25" s="1"/>
      <c r="AB25" s="1"/>
      <c r="AC25" s="1"/>
      <c r="AD25" s="1"/>
      <c r="AE25" s="1"/>
      <c r="AF25" s="1"/>
      <c r="AG25" s="1"/>
      <c r="AH25" s="1"/>
      <c r="AI25" s="1"/>
      <c r="AJ25" s="1"/>
      <c r="AK25" s="1"/>
      <c r="AL25" s="1"/>
      <c r="AM25" s="1"/>
      <c r="AN25" s="1"/>
      <c r="AO25" s="1"/>
      <c r="AP25" s="1"/>
      <c r="AQ25" s="1"/>
      <c r="AR25" s="1"/>
    </row>
    <row r="26" spans="1:44" ht="18.75" customHeight="1" x14ac:dyDescent="0.25">
      <c r="A26" s="16"/>
      <c r="B26" s="39"/>
      <c r="C26" s="42"/>
      <c r="D26" s="42"/>
      <c r="E26" s="42"/>
      <c r="F26" s="42"/>
      <c r="G26" s="42"/>
      <c r="H26" s="42"/>
      <c r="I26" s="42"/>
      <c r="J26" s="42"/>
      <c r="K26" s="42"/>
      <c r="L26" s="42"/>
      <c r="M26" s="42"/>
      <c r="N26" s="16"/>
      <c r="O26" s="43"/>
      <c r="P26" s="43"/>
      <c r="Q26" s="43"/>
      <c r="R26" s="43"/>
      <c r="S26" s="43"/>
      <c r="T26" s="43"/>
      <c r="U26" s="43"/>
      <c r="V26" s="16"/>
      <c r="W26" s="1"/>
      <c r="X26" s="1"/>
      <c r="Y26" s="1"/>
      <c r="Z26" s="1"/>
      <c r="AA26" s="1"/>
      <c r="AB26" s="1"/>
      <c r="AC26" s="1"/>
      <c r="AD26" s="1"/>
      <c r="AE26" s="1"/>
      <c r="AF26" s="1"/>
      <c r="AG26" s="1"/>
      <c r="AH26" s="1"/>
      <c r="AI26" s="1"/>
      <c r="AJ26" s="1"/>
      <c r="AK26" s="1"/>
      <c r="AL26" s="1"/>
      <c r="AM26" s="1"/>
      <c r="AN26" s="1"/>
      <c r="AO26" s="1"/>
      <c r="AP26" s="1"/>
      <c r="AQ26" s="1"/>
      <c r="AR26" s="1"/>
    </row>
    <row r="27" spans="1:44" ht="18.75" customHeight="1" x14ac:dyDescent="0.25">
      <c r="A27" s="16"/>
      <c r="B27" s="16"/>
      <c r="C27" s="42"/>
      <c r="D27" s="42"/>
      <c r="E27" s="42"/>
      <c r="F27" s="42"/>
      <c r="G27" s="42"/>
      <c r="H27" s="42"/>
      <c r="I27" s="42"/>
      <c r="J27" s="42"/>
      <c r="K27" s="42"/>
      <c r="L27" s="42"/>
      <c r="M27" s="42"/>
      <c r="N27" s="16"/>
      <c r="O27" s="43"/>
      <c r="P27" s="43"/>
      <c r="Q27" s="43"/>
      <c r="R27" s="43"/>
      <c r="S27" s="43"/>
      <c r="T27" s="43"/>
      <c r="U27" s="43"/>
      <c r="V27" s="16"/>
      <c r="W27" s="1"/>
      <c r="X27" s="1"/>
      <c r="Y27" s="1"/>
      <c r="Z27" s="1"/>
      <c r="AA27" s="1"/>
      <c r="AB27" s="1"/>
      <c r="AC27" s="1"/>
      <c r="AD27" s="1"/>
      <c r="AE27" s="1"/>
      <c r="AF27" s="1"/>
      <c r="AG27" s="1"/>
      <c r="AH27" s="1"/>
      <c r="AI27" s="1"/>
      <c r="AJ27" s="1"/>
      <c r="AK27" s="1"/>
      <c r="AL27" s="1"/>
      <c r="AM27" s="1"/>
      <c r="AN27" s="1"/>
      <c r="AO27" s="1"/>
      <c r="AP27" s="1"/>
      <c r="AQ27" s="1"/>
      <c r="AR27" s="1"/>
    </row>
    <row r="28" spans="1:44" ht="18.75" customHeight="1" x14ac:dyDescent="0.25">
      <c r="A28" s="16"/>
      <c r="B28" s="16"/>
      <c r="C28" s="42"/>
      <c r="D28" s="42"/>
      <c r="E28" s="42"/>
      <c r="F28" s="42"/>
      <c r="G28" s="42"/>
      <c r="H28" s="42"/>
      <c r="I28" s="42"/>
      <c r="J28" s="42"/>
      <c r="K28" s="42"/>
      <c r="L28" s="42"/>
      <c r="M28" s="42"/>
      <c r="N28" s="16"/>
      <c r="O28" s="43"/>
      <c r="P28" s="43"/>
      <c r="Q28" s="43"/>
      <c r="R28" s="43"/>
      <c r="S28" s="43"/>
      <c r="T28" s="43"/>
      <c r="U28" s="43"/>
      <c r="V28" s="16"/>
      <c r="W28" s="1"/>
      <c r="X28" s="1"/>
      <c r="Y28" s="1"/>
      <c r="Z28" s="1"/>
      <c r="AA28" s="1"/>
      <c r="AB28" s="1"/>
      <c r="AC28" s="1"/>
      <c r="AD28" s="1"/>
      <c r="AE28" s="1"/>
      <c r="AF28" s="1"/>
      <c r="AG28" s="1"/>
      <c r="AH28" s="1"/>
      <c r="AI28" s="1"/>
      <c r="AJ28" s="1"/>
      <c r="AK28" s="1"/>
      <c r="AL28" s="1"/>
      <c r="AM28" s="1"/>
      <c r="AN28" s="1"/>
      <c r="AO28" s="1"/>
      <c r="AP28" s="1"/>
      <c r="AQ28" s="1"/>
      <c r="AR28" s="1"/>
    </row>
    <row r="29" spans="1:44" ht="18.75" customHeight="1" x14ac:dyDescent="0.25">
      <c r="A29" s="16"/>
      <c r="B29" s="16"/>
      <c r="C29" s="42"/>
      <c r="D29" s="42"/>
      <c r="E29" s="42"/>
      <c r="F29" s="42"/>
      <c r="G29" s="42"/>
      <c r="H29" s="42"/>
      <c r="I29" s="42"/>
      <c r="J29" s="42"/>
      <c r="K29" s="42"/>
      <c r="L29" s="42"/>
      <c r="M29" s="42"/>
      <c r="N29" s="16"/>
      <c r="O29" s="43"/>
      <c r="P29" s="43"/>
      <c r="Q29" s="43"/>
      <c r="R29" s="43"/>
      <c r="S29" s="43"/>
      <c r="T29" s="43"/>
      <c r="U29" s="43"/>
      <c r="V29" s="16"/>
      <c r="W29" s="1"/>
      <c r="X29" s="1"/>
      <c r="Y29" s="1"/>
      <c r="Z29" s="1"/>
      <c r="AA29" s="1"/>
      <c r="AB29" s="1"/>
      <c r="AC29" s="1"/>
      <c r="AD29" s="1"/>
      <c r="AE29" s="1"/>
      <c r="AF29" s="1"/>
      <c r="AG29" s="1"/>
      <c r="AH29" s="1"/>
      <c r="AI29" s="1"/>
      <c r="AJ29" s="1"/>
      <c r="AK29" s="1"/>
      <c r="AL29" s="1"/>
      <c r="AM29" s="1"/>
      <c r="AN29" s="1"/>
      <c r="AO29" s="1"/>
      <c r="AP29" s="1"/>
      <c r="AQ29" s="1"/>
      <c r="AR29" s="1"/>
    </row>
    <row r="30" spans="1:44" ht="18.75" customHeight="1" x14ac:dyDescent="0.25">
      <c r="A30" s="16"/>
      <c r="B30" s="16"/>
      <c r="C30" s="42"/>
      <c r="D30" s="42"/>
      <c r="E30" s="42"/>
      <c r="F30" s="42"/>
      <c r="G30" s="42"/>
      <c r="H30" s="42"/>
      <c r="I30" s="42"/>
      <c r="J30" s="42"/>
      <c r="K30" s="42"/>
      <c r="L30" s="42"/>
      <c r="M30" s="42"/>
      <c r="N30" s="16"/>
      <c r="O30" s="43"/>
      <c r="P30" s="43"/>
      <c r="Q30" s="43"/>
      <c r="R30" s="43"/>
      <c r="S30" s="43"/>
      <c r="T30" s="43"/>
      <c r="U30" s="43"/>
      <c r="V30" s="16"/>
      <c r="W30" s="1"/>
      <c r="X30" s="1"/>
      <c r="Y30" s="1"/>
      <c r="Z30" s="1"/>
      <c r="AA30" s="1"/>
      <c r="AB30" s="1"/>
      <c r="AC30" s="1"/>
      <c r="AD30" s="1"/>
      <c r="AE30" s="1"/>
      <c r="AF30" s="1"/>
      <c r="AG30" s="1"/>
      <c r="AH30" s="1"/>
      <c r="AI30" s="1"/>
      <c r="AJ30" s="1"/>
      <c r="AK30" s="1"/>
      <c r="AL30" s="1"/>
      <c r="AM30" s="1"/>
      <c r="AN30" s="1"/>
      <c r="AO30" s="1"/>
      <c r="AP30" s="1"/>
      <c r="AQ30" s="1"/>
      <c r="AR30" s="1"/>
    </row>
    <row r="31" spans="1:44" x14ac:dyDescent="0.25">
      <c r="A31" s="16"/>
      <c r="B31" s="16"/>
      <c r="C31" s="16"/>
      <c r="D31" s="16"/>
      <c r="E31" s="16"/>
      <c r="F31" s="16"/>
      <c r="G31" s="16"/>
      <c r="H31" s="16"/>
      <c r="I31" s="16"/>
      <c r="J31" s="16"/>
      <c r="K31" s="16"/>
      <c r="L31" s="16"/>
      <c r="M31" s="16"/>
      <c r="N31" s="16"/>
      <c r="O31" s="16"/>
      <c r="P31" s="16"/>
      <c r="Q31" s="16"/>
      <c r="R31" s="16"/>
      <c r="S31" s="16"/>
      <c r="T31" s="16"/>
      <c r="U31" s="16"/>
      <c r="V31" s="16"/>
      <c r="W31" s="1"/>
      <c r="X31" s="1"/>
      <c r="Y31" s="1"/>
      <c r="Z31" s="1"/>
      <c r="AA31" s="1"/>
      <c r="AB31" s="1"/>
      <c r="AC31" s="1"/>
      <c r="AD31" s="1"/>
      <c r="AE31" s="1"/>
      <c r="AF31" s="1"/>
      <c r="AG31" s="1"/>
      <c r="AH31" s="1"/>
      <c r="AI31" s="1"/>
      <c r="AJ31" s="1"/>
      <c r="AK31" s="1"/>
      <c r="AL31" s="1"/>
      <c r="AM31" s="1"/>
      <c r="AN31" s="1"/>
      <c r="AO31" s="1"/>
      <c r="AP31" s="1"/>
      <c r="AQ31" s="1"/>
      <c r="AR31" s="1"/>
    </row>
    <row r="32" spans="1:44" x14ac:dyDescent="0.25">
      <c r="A32" s="16"/>
      <c r="B32" s="16"/>
      <c r="C32" s="16"/>
      <c r="D32" s="16"/>
      <c r="E32" s="16"/>
      <c r="F32" s="16"/>
      <c r="G32" s="16"/>
      <c r="H32" s="16"/>
      <c r="I32" s="16"/>
      <c r="J32" s="16"/>
      <c r="K32" s="16"/>
      <c r="L32" s="16"/>
      <c r="M32" s="16"/>
      <c r="N32" s="16"/>
      <c r="O32" s="16"/>
      <c r="P32" s="16"/>
      <c r="Q32" s="16"/>
      <c r="R32" s="16"/>
      <c r="S32" s="16"/>
      <c r="T32" s="16"/>
      <c r="U32" s="16"/>
      <c r="V32" s="16"/>
      <c r="W32" s="1"/>
      <c r="X32" s="1"/>
      <c r="Y32" s="1"/>
      <c r="Z32" s="1"/>
      <c r="AA32" s="1"/>
      <c r="AB32" s="1"/>
      <c r="AC32" s="1"/>
      <c r="AD32" s="1"/>
      <c r="AE32" s="1"/>
      <c r="AF32" s="1"/>
      <c r="AG32" s="1"/>
      <c r="AH32" s="1"/>
      <c r="AI32" s="1"/>
      <c r="AJ32" s="1"/>
      <c r="AK32" s="1"/>
      <c r="AL32" s="1"/>
      <c r="AM32" s="1"/>
      <c r="AN32" s="1"/>
      <c r="AO32" s="1"/>
      <c r="AP32" s="1"/>
      <c r="AQ32" s="1"/>
      <c r="AR32" s="1"/>
    </row>
    <row r="33" spans="1:44" x14ac:dyDescent="0.25">
      <c r="A33" s="16"/>
      <c r="B33" s="16"/>
      <c r="C33" s="16"/>
      <c r="D33" s="16"/>
      <c r="E33" s="16"/>
      <c r="F33" s="16"/>
      <c r="G33" s="16"/>
      <c r="H33" s="16"/>
      <c r="I33" s="16"/>
      <c r="J33" s="16"/>
      <c r="K33" s="16"/>
      <c r="L33" s="16"/>
      <c r="M33" s="16"/>
      <c r="N33" s="16"/>
      <c r="O33" s="16"/>
      <c r="P33" s="16"/>
      <c r="Q33" s="16"/>
      <c r="R33" s="16"/>
      <c r="S33" s="16"/>
      <c r="T33" s="16"/>
      <c r="U33" s="16"/>
      <c r="V33" s="16"/>
      <c r="W33" s="1"/>
      <c r="X33" s="1"/>
      <c r="Y33" s="1"/>
      <c r="Z33" s="1"/>
      <c r="AA33" s="1"/>
      <c r="AB33" s="1"/>
      <c r="AC33" s="1"/>
      <c r="AD33" s="1"/>
      <c r="AE33" s="1"/>
      <c r="AF33" s="1"/>
      <c r="AG33" s="1"/>
      <c r="AH33" s="1"/>
      <c r="AI33" s="1"/>
      <c r="AJ33" s="1"/>
      <c r="AK33" s="1"/>
      <c r="AL33" s="1"/>
      <c r="AM33" s="1"/>
      <c r="AN33" s="1"/>
      <c r="AO33" s="1"/>
      <c r="AP33" s="1"/>
      <c r="AQ33" s="1"/>
      <c r="AR33" s="1"/>
    </row>
    <row r="34" spans="1:44" x14ac:dyDescent="0.25">
      <c r="A34" s="16"/>
      <c r="B34" s="16"/>
      <c r="C34" s="16"/>
      <c r="D34" s="16"/>
      <c r="E34" s="16"/>
      <c r="F34" s="16"/>
      <c r="G34" s="16"/>
      <c r="H34" s="16"/>
      <c r="I34" s="16"/>
      <c r="J34" s="16"/>
      <c r="K34" s="16"/>
      <c r="L34" s="16"/>
      <c r="M34" s="16"/>
      <c r="N34" s="16"/>
      <c r="O34" s="16"/>
      <c r="P34" s="16"/>
      <c r="Q34" s="16"/>
      <c r="R34" s="16"/>
      <c r="S34" s="16"/>
      <c r="T34" s="16"/>
      <c r="U34" s="16"/>
      <c r="V34" s="16"/>
      <c r="W34" s="1"/>
      <c r="X34" s="1"/>
      <c r="Y34" s="1"/>
      <c r="Z34" s="1"/>
      <c r="AA34" s="1"/>
      <c r="AB34" s="1"/>
      <c r="AC34" s="1"/>
      <c r="AD34" s="1"/>
      <c r="AE34" s="1"/>
      <c r="AF34" s="1"/>
      <c r="AG34" s="1"/>
      <c r="AH34" s="1"/>
      <c r="AI34" s="1"/>
      <c r="AJ34" s="1"/>
      <c r="AK34" s="1"/>
      <c r="AL34" s="1"/>
      <c r="AM34" s="1"/>
      <c r="AN34" s="1"/>
      <c r="AO34" s="1"/>
      <c r="AP34" s="1"/>
      <c r="AQ34" s="1"/>
      <c r="AR34" s="1"/>
    </row>
    <row r="35" spans="1:44" x14ac:dyDescent="0.25">
      <c r="A35" s="16"/>
      <c r="B35" s="16"/>
      <c r="C35" s="16"/>
      <c r="D35" s="16"/>
      <c r="E35" s="16"/>
      <c r="F35" s="16"/>
      <c r="G35" s="16"/>
      <c r="H35" s="16"/>
      <c r="I35" s="16"/>
      <c r="J35" s="16"/>
      <c r="K35" s="16"/>
      <c r="L35" s="16"/>
      <c r="M35" s="16"/>
      <c r="N35" s="16"/>
      <c r="O35" s="16"/>
      <c r="P35" s="16"/>
      <c r="Q35" s="16"/>
      <c r="R35" s="16"/>
      <c r="S35" s="16"/>
      <c r="T35" s="16"/>
      <c r="U35" s="16"/>
      <c r="V35" s="16"/>
      <c r="W35" s="1"/>
      <c r="X35" s="1"/>
      <c r="Y35" s="1"/>
      <c r="Z35" s="1"/>
      <c r="AA35" s="1"/>
      <c r="AB35" s="1"/>
      <c r="AC35" s="1"/>
      <c r="AD35" s="1"/>
      <c r="AE35" s="1"/>
      <c r="AF35" s="1"/>
      <c r="AG35" s="1"/>
      <c r="AH35" s="1"/>
      <c r="AI35" s="1"/>
      <c r="AJ35" s="1"/>
      <c r="AK35" s="1"/>
      <c r="AL35" s="1"/>
      <c r="AM35" s="1"/>
      <c r="AN35" s="1"/>
      <c r="AO35" s="1"/>
      <c r="AP35" s="1"/>
      <c r="AQ35" s="1"/>
      <c r="AR35" s="1"/>
    </row>
    <row r="36" spans="1:44" x14ac:dyDescent="0.25">
      <c r="A36" s="16"/>
      <c r="B36" s="16"/>
      <c r="C36" s="16"/>
      <c r="D36" s="16"/>
      <c r="E36" s="16"/>
      <c r="F36" s="16"/>
      <c r="G36" s="16"/>
      <c r="H36" s="16"/>
      <c r="I36" s="16"/>
      <c r="J36" s="16"/>
      <c r="K36" s="16"/>
      <c r="L36" s="16"/>
      <c r="M36" s="16"/>
      <c r="N36" s="16"/>
      <c r="O36" s="16"/>
      <c r="P36" s="16"/>
      <c r="Q36" s="16"/>
      <c r="R36" s="16"/>
      <c r="S36" s="16"/>
      <c r="T36" s="16"/>
      <c r="U36" s="16"/>
      <c r="V36" s="16"/>
      <c r="W36" s="1"/>
      <c r="X36" s="1"/>
      <c r="Y36" s="1"/>
      <c r="Z36" s="1"/>
      <c r="AA36" s="1"/>
      <c r="AB36" s="1"/>
      <c r="AC36" s="1"/>
      <c r="AD36" s="1"/>
      <c r="AE36" s="1"/>
      <c r="AF36" s="1"/>
      <c r="AG36" s="1"/>
      <c r="AH36" s="1"/>
      <c r="AI36" s="1"/>
      <c r="AJ36" s="1"/>
      <c r="AK36" s="1"/>
      <c r="AL36" s="1"/>
      <c r="AM36" s="1"/>
      <c r="AN36" s="1"/>
      <c r="AO36" s="1"/>
      <c r="AP36" s="1"/>
      <c r="AQ36" s="1"/>
      <c r="AR36" s="1"/>
    </row>
    <row r="37" spans="1:44" x14ac:dyDescent="0.25">
      <c r="A37" s="16"/>
      <c r="B37" s="16"/>
      <c r="C37" s="16"/>
      <c r="D37" s="16"/>
      <c r="E37" s="16"/>
      <c r="F37" s="16"/>
      <c r="G37" s="16"/>
      <c r="H37" s="16"/>
      <c r="I37" s="16"/>
      <c r="J37" s="16"/>
      <c r="K37" s="16"/>
      <c r="L37" s="16"/>
      <c r="M37" s="16"/>
      <c r="N37" s="16"/>
      <c r="O37" s="16"/>
      <c r="P37" s="16"/>
      <c r="Q37" s="16"/>
      <c r="R37" s="16"/>
      <c r="S37" s="16"/>
      <c r="T37" s="16"/>
      <c r="U37" s="16"/>
      <c r="V37" s="16"/>
      <c r="W37" s="1"/>
      <c r="X37" s="1"/>
      <c r="Y37" s="1"/>
      <c r="Z37" s="1"/>
      <c r="AA37" s="1"/>
      <c r="AB37" s="1"/>
      <c r="AC37" s="1"/>
      <c r="AD37" s="1"/>
      <c r="AE37" s="1"/>
      <c r="AF37" s="1"/>
      <c r="AG37" s="1"/>
      <c r="AH37" s="1"/>
      <c r="AI37" s="1"/>
      <c r="AJ37" s="1"/>
      <c r="AK37" s="1"/>
      <c r="AL37" s="1"/>
      <c r="AM37" s="1"/>
      <c r="AN37" s="1"/>
      <c r="AO37" s="1"/>
      <c r="AP37" s="1"/>
      <c r="AQ37" s="1"/>
      <c r="AR37" s="1"/>
    </row>
    <row r="38" spans="1:4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row>
    <row r="39" spans="1:4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row>
    <row r="40" spans="1:4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row>
    <row r="41" spans="1:4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row>
    <row r="42" spans="1:4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row>
    <row r="43" spans="1:4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row>
    <row r="44" spans="1:4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row>
    <row r="45" spans="1:4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row>
    <row r="46" spans="1:4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row>
    <row r="59" spans="1:44"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row>
  </sheetData>
  <sheetProtection algorithmName="SHA-512" hashValue="tjYch2qLjAnXVvGHwoGxEoLqUobkLlKfVBRmgfouhPi5a0Fs72/tm6ObRagua7ZFYxcJKCR2Qewn8v9GV3hJQA==" saltValue="c02+mlEiG2fGtiYTC1pfLQ==" spinCount="100000" sheet="1" objects="1" scenarios="1"/>
  <mergeCells count="12">
    <mergeCell ref="B11:B12"/>
    <mergeCell ref="B18:B19"/>
    <mergeCell ref="B25:B26"/>
    <mergeCell ref="U5:U6"/>
    <mergeCell ref="H9:M9"/>
    <mergeCell ref="O11:U16"/>
    <mergeCell ref="O18:U23"/>
    <mergeCell ref="O25:U30"/>
    <mergeCell ref="C5:S7"/>
    <mergeCell ref="C11:M16"/>
    <mergeCell ref="C18:M23"/>
    <mergeCell ref="C25:M30"/>
  </mergeCells>
  <conditionalFormatting sqref="C5:S7">
    <cfRule type="containsBlanks" dxfId="5" priority="4">
      <formula>LEN(TRIM(C5))=0</formula>
    </cfRule>
  </conditionalFormatting>
  <conditionalFormatting sqref="C25:M30 C18:M23 C11:M16 O11 O18 O25">
    <cfRule type="notContainsBlanks" dxfId="4" priority="8">
      <formula>LEN(TRIM(C11))&gt;0</formula>
    </cfRule>
  </conditionalFormatting>
  <conditionalFormatting sqref="B25 B18 B11">
    <cfRule type="notContainsBlanks" dxfId="3" priority="5">
      <formula>LEN(TRIM(B11))&gt;0</formula>
    </cfRule>
  </conditionalFormatting>
  <conditionalFormatting sqref="H9:M9">
    <cfRule type="notContainsBlanks" dxfId="2" priority="9">
      <formula>LEN(TRIM(H9))&gt;0</formula>
    </cfRule>
  </conditionalFormatting>
  <dataValidations count="1">
    <dataValidation type="list" allowBlank="1" showInputMessage="1" showErrorMessage="1" sqref="U7" xr:uid="{976A0FE6-A2B1-4496-B872-CF158C45ED95}">
      <formula1>"S,N"</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aste">
                <anchor moveWithCells="1" sizeWithCells="1">
                  <from>
                    <xdr:col>1</xdr:col>
                    <xdr:colOff>28575</xdr:colOff>
                    <xdr:row>4</xdr:row>
                    <xdr:rowOff>9525</xdr:rowOff>
                  </from>
                  <to>
                    <xdr:col>1</xdr:col>
                    <xdr:colOff>523875</xdr:colOff>
                    <xdr:row>5</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3075E-7CD2-44EB-B0B6-BE83899220DC}">
  <sheetPr codeName="Planilha2"/>
  <dimension ref="A1:XAC1048574"/>
  <sheetViews>
    <sheetView showGridLines="0" zoomScaleNormal="100" workbookViewId="0">
      <selection activeCell="E11" sqref="E11"/>
    </sheetView>
  </sheetViews>
  <sheetFormatPr defaultRowHeight="15" x14ac:dyDescent="0.25"/>
  <cols>
    <col min="2" max="2" width="3.5703125" customWidth="1"/>
    <col min="3" max="3" width="1.5703125" customWidth="1"/>
    <col min="4" max="4" width="45.5703125" customWidth="1"/>
    <col min="5" max="5" width="45.42578125" customWidth="1"/>
    <col min="6" max="6" width="14.42578125" customWidth="1"/>
    <col min="8" max="16240" width="0.5703125" hidden="1" customWidth="1"/>
    <col min="16241" max="16241" width="0" hidden="1" customWidth="1"/>
    <col min="16242" max="16242" width="11.5703125" hidden="1" customWidth="1"/>
    <col min="16243" max="16243" width="2.140625" hidden="1" customWidth="1"/>
    <col min="16244" max="16244" width="28.28515625" hidden="1" customWidth="1"/>
    <col min="16245" max="16245" width="14.5703125" hidden="1" customWidth="1"/>
    <col min="16246" max="16246" width="2.140625" hidden="1" customWidth="1"/>
    <col min="16247" max="16247" width="24.5703125" hidden="1" customWidth="1"/>
    <col min="16248" max="16248" width="9" hidden="1" customWidth="1"/>
    <col min="16249" max="16249" width="9.140625" hidden="1" customWidth="1"/>
    <col min="16250" max="16250" width="23.5703125" hidden="1" customWidth="1"/>
    <col min="16251" max="16251" width="6.5703125" hidden="1" customWidth="1"/>
    <col min="16252" max="16252" width="9.140625" hidden="1" customWidth="1"/>
    <col min="16253" max="16253" width="222.140625" hidden="1" customWidth="1"/>
    <col min="16254" max="16384" width="0" hidden="1" customWidth="1"/>
  </cols>
  <sheetData>
    <row r="1" spans="3:6 16242:16253" ht="22.5" customHeight="1" thickBot="1" x14ac:dyDescent="0.3">
      <c r="C1" s="18" t="s">
        <v>10</v>
      </c>
      <c r="D1" s="5" t="s">
        <v>0</v>
      </c>
      <c r="E1" s="5" t="s">
        <v>2</v>
      </c>
      <c r="F1" s="5" t="s">
        <v>1</v>
      </c>
      <c r="XAA1" t="s">
        <v>13</v>
      </c>
      <c r="XAB1" t="s">
        <v>10</v>
      </c>
      <c r="XAC1" s="11" t="s">
        <v>4</v>
      </c>
    </row>
    <row r="2" spans="3:6 16242:16253" ht="15.75" thickBot="1" x14ac:dyDescent="0.3">
      <c r="C2" s="17">
        <f>XAB2</f>
        <v>1</v>
      </c>
      <c r="D2" t="s">
        <v>38</v>
      </c>
      <c r="E2" t="s">
        <v>39</v>
      </c>
      <c r="F2" s="8"/>
      <c r="XAA2">
        <f t="shared" ref="XAA2:XAA63" si="0">IF(ISNUMBER(SEARCH($WZS$4,XAC2)),1,"")</f>
        <v>1</v>
      </c>
      <c r="XAB2">
        <f>IF(ISNUMBER(XAA2),_xlfn.RANK.EQ(XAA2,$XAA$2:$XAA$254,0)+COUNTIF($XAA$2:XAA2,XAA2)-1,"")</f>
        <v>1</v>
      </c>
      <c r="XAC2" s="11" t="str">
        <f t="shared" ref="XAC2:XAC63" si="1">IF($I$4="S",SUBSTITUTE(D2," ",""),SUBSTITUTE(SUBSTITUTE(SUBSTITUTE(SUBSTITUTE(SUBSTITUTE(SUBSTITUTE(SUBSTITUTE(SUBSTITUTE(SUBSTITUTE(SUBSTITUTE(SUBSTITUTE(SUBSTITUTE(SUBSTITUTE(SUBSTITUTE(SUBSTITUTE(SUBSTITUTE(SUBSTITUTE(SUBSTITUTE(SUBSTITUTE(SUBSTITUTE(SUBSTITUTE(SUBSTITUTE(SUBSTITUTE(SUBSTITUTE(SUBSTITUTE(SUBSTITUTE(SUBSTITUTE(LOWER(D2)," ",""),"ã","a"),"á","a"),"à","a"),"â","a"),"é","e"),"ê","e"),"í","i"),"ó","o"),"õ","o"),"ô","o"),"ú","u"),"ü","u"),"ç","c"),"“",""),"”",""),",",""),";",""),"(",""),")",""),"+",""),"-",""),".",""),"–",""),"‘",""),"’",""),"+","+"))</f>
        <v>atecnologiadainformacaooutieoconjuntodeatividadesesolucoesenvolvendohardwaresoftwarebancodedadoseredesqueatuamparafacilitaroacessoanaliseegerenciamentodeinformacoessimplificandoatifoicriadaparaauxiliaroserhumanoalidarcominformacoesfonte:silvaadamoqueeti?2015disponivelem&lt;https://wwwadamsilvacombr/tecnologia/oqueeti&gt;acessoem:04demarco2019comoobjetivocentralatecnologiadainformacaosemprevisaraaproducaoarmazenamentoacessotransmissaosegurancaeusodasinformacoesconsiderandoessasinformacoeseoconteudoestudadopodemossepararousodetecnologiadainformacaoem2niveis:</v>
      </c>
    </row>
    <row r="3" spans="3:6 16242:16253" ht="15.75" x14ac:dyDescent="0.25">
      <c r="C3" s="17">
        <f t="shared" ref="C3:C64" si="2">XAB3</f>
        <v>2</v>
      </c>
      <c r="D3" t="s">
        <v>40</v>
      </c>
      <c r="E3" t="s">
        <v>41</v>
      </c>
      <c r="F3" s="9"/>
      <c r="WZR3" s="13" t="s">
        <v>9</v>
      </c>
      <c r="WZS3" s="53" t="str">
        <f>IF(OR(ISBLANK(P00!C5),LEN(P00!C5)&lt;3),"",P00!C5)</f>
        <v/>
      </c>
      <c r="WZT3" s="53"/>
      <c r="WZU3" s="54"/>
      <c r="WZV3" s="2" t="s">
        <v>14</v>
      </c>
      <c r="WZW3" s="12" t="s">
        <v>5</v>
      </c>
      <c r="XAA3">
        <f t="shared" si="0"/>
        <v>1</v>
      </c>
      <c r="XAB3">
        <f>IF(ISNUMBER(XAA3),_xlfn.RANK.EQ(XAA3,$XAA$2:$XAA$254,0)+COUNTIF($XAA$2:XAA3,XAA3)-1,"")</f>
        <v>2</v>
      </c>
      <c r="XAC3" s="11" t="str">
        <f t="shared" si="1"/>
        <v>datawarehouseeumdepositodedadosdigitaisqueserveparaarmazenarinformacoesdetalhadasrelativamenteaumaempresacriandoeorganizandorelatoriosatravesdehistoricosquesaodepoisusadospelaempresaparaajudaratomardecisoesimportantescombasenosfatosapresentadosfonte:significadosoqueedatawarehousedisponivelem:&lt;https://wwwsignificadoscombr/datawarehouse/&gt;acessoem:24fev2019considerandoofluxodedadosquepodemserdepositadosemumdatawarehousepodemosafirmarque:</v>
      </c>
    </row>
    <row r="4" spans="3:6 16242:16253" ht="15.75" thickBot="1" x14ac:dyDescent="0.3">
      <c r="C4" s="17">
        <f t="shared" si="2"/>
        <v>3</v>
      </c>
      <c r="D4" t="s">
        <v>42</v>
      </c>
      <c r="E4" t="s">
        <v>43</v>
      </c>
      <c r="F4" s="9"/>
      <c r="WZR4" s="14" t="s">
        <v>8</v>
      </c>
      <c r="WZS4" s="55" t="str">
        <f>IF(WZW7="S",IF(WZW4="S",SUBSTITUTE(WZS3,"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f>
        <v/>
      </c>
      <c r="WZT4" s="55"/>
      <c r="WZU4" s="56"/>
      <c r="WZV4" s="2" t="s">
        <v>14</v>
      </c>
      <c r="WZW4" s="15" t="s">
        <v>7</v>
      </c>
      <c r="XAA4">
        <f t="shared" si="0"/>
        <v>1</v>
      </c>
      <c r="XAB4">
        <f>IF(ISNUMBER(XAA4),_xlfn.RANK.EQ(XAA4,$XAA$2:$XAA$254,0)+COUNTIF($XAA$2:XAA4,XAA4)-1,"")</f>
        <v>3</v>
      </c>
      <c r="XAC4" s="11" t="str">
        <f t="shared" si="1"/>
        <v>osmartphoneehojeoprincipalgadgetdoplanetacomacapacidadedeserdesdeumtocadordemusicaateumaferramentadetrabalhooscelularessetornarampartevitaldavidademuitosenobrasilnaoeexclusividade[]osmartphoneestainseridonavidadobrasileirocomonuncafonte:istoedinheiropesquisarevelahabitosdosbrasileirosemrelacaoaocelular2018disponivelem:&lt;https://wwwistoedinheirocombr/pesquisarevelahabitosdosbrasileirosemrelacaoaocelular/&gt;acessoem:30set2020considerandoessasinformacoeseoconteudoestudadosobreocenarioatualdacomputacaoestacorretoafirmarque:</v>
      </c>
    </row>
    <row r="5" spans="3:6 16242:16253" ht="15.75" thickBot="1" x14ac:dyDescent="0.3">
      <c r="C5" s="17">
        <f t="shared" si="2"/>
        <v>4</v>
      </c>
      <c r="D5" t="s">
        <v>44</v>
      </c>
      <c r="E5" t="s">
        <v>45</v>
      </c>
      <c r="F5" s="9"/>
      <c r="WZR5" s="2"/>
      <c r="WZS5" s="2"/>
      <c r="WZT5" s="2"/>
      <c r="WZU5" s="2"/>
      <c r="WZV5" s="2"/>
      <c r="WZW5" s="2"/>
      <c r="XAA5">
        <f t="shared" si="0"/>
        <v>1</v>
      </c>
      <c r="XAB5">
        <f>IF(ISNUMBER(XAA5),_xlfn.RANK.EQ(XAA5,$XAA$2:$XAA$254,0)+COUNTIF($XAA$2:XAA5,XAA5)-1,"")</f>
        <v>4</v>
      </c>
      <c r="XAC5" s="11" t="str">
        <f t="shared" si="1"/>
        <v>aapplecomputerfoiaempresaquedesenvolveucomputadoresdegranderepercussaonadecadade80elafoifundadaporstevejobsestevevosniakaideiadeintegrartelaetecladoasmaquinastornouaapplemundialmenteconhecidaaapple2foiamaquinademaiorrepercussaoelacontavacom4kbdememoriaramepossuiaentradasdefitacassetesuamemoriaromvinhacomuminterpretadorbasicaposolancamentodaapple2existiuumprojetotaoimportantequantoseuantecessorqueacoplouomousenasmaquinasappleconsiderandoessasinformacoeseoconteudoestudadopodeseafirmarqueonomedessecomputadore:</v>
      </c>
    </row>
    <row r="6" spans="3:6 16242:16253" ht="16.5" thickBot="1" x14ac:dyDescent="0.3">
      <c r="C6" s="17">
        <f t="shared" si="2"/>
        <v>5</v>
      </c>
      <c r="D6" t="s">
        <v>46</v>
      </c>
      <c r="E6" t="s">
        <v>47</v>
      </c>
      <c r="F6" s="9"/>
      <c r="WZR6" s="21" t="s">
        <v>15</v>
      </c>
      <c r="WZS6" s="22" t="s">
        <v>10</v>
      </c>
      <c r="WZT6" s="22" t="s">
        <v>11</v>
      </c>
      <c r="WZU6" s="22" t="s">
        <v>12</v>
      </c>
      <c r="WZV6" s="2"/>
      <c r="WZW6" s="12" t="s">
        <v>6</v>
      </c>
      <c r="XAA6">
        <f t="shared" si="0"/>
        <v>1</v>
      </c>
      <c r="XAB6">
        <f>IF(ISNUMBER(XAA6),_xlfn.RANK.EQ(XAA6,$XAA$2:$XAA$254,0)+COUNTIF($XAA$2:XAA6,XAA6)-1,"")</f>
        <v>5</v>
      </c>
      <c r="XAC6" s="11" t="str">
        <f t="shared" si="1"/>
        <v>acloudcomputingjaeumarealidadedentrodevariasempresasatravesdoatendimentoainfraestruturacompletadaorganizacaoinclusaodesistemasoperativosconexoescomainternetplataformasdeservicoseprogramasnecessariosoupormeiodaabordagemdeambientesvirtuaiscomcapacidadedeatenderasdemandasdonegociopelainternetaindaexistemservicosdesoftwarequefornecemlocaisparaqueosprogramasprincipaispossamserarmazenadosecompartilhadosdeformasimultaneaeassincronaconsiderandoessasinformacoeseoconteudoestudadoanaliseasafirmativasaseguireassinalevparaasverdadeirasefparaasfalsas i podemosafirmarquequandofalamossobreasplataformasquesaoarmazenadasemdatacenterseacessadasatravesdecloudestamosfalandosobreomodelopaasii omodeloiaasofertaservicoscompletosdeinfraestruturaasempresasoqueabrangetodososaspectosdetecnologiadainformacaoqueaempresanecessitaiii quandofalamosemsaasousoftwaressobreservicoestamosfalandodeprogramasespecificosqueficamadisposicaodeempresassuabasededadosficaemumservidornanuvemiv osdriversgratuitosofertadospelosservidoresdeemailsaoservicosdenuvemcomespacodearmazenamentolimitadosempossibilidadedeextensaoagoraassinaleaalternativaqueapresentaasequenciacorreta:</v>
      </c>
    </row>
    <row r="7" spans="3:6 16242:16253" ht="15.75" thickBot="1" x14ac:dyDescent="0.3">
      <c r="C7" s="17">
        <f t="shared" si="2"/>
        <v>6</v>
      </c>
      <c r="D7" t="s">
        <v>48</v>
      </c>
      <c r="E7" t="s">
        <v>49</v>
      </c>
      <c r="F7" s="9"/>
      <c r="WZR7" s="19" t="str">
        <f>IF(WZS7="","",IFERROR(VLOOKUP(WZS7,C:F,4,FALSE),""))</f>
        <v/>
      </c>
      <c r="WZS7" s="23" t="str">
        <f>IF(WZS4="","",1)</f>
        <v/>
      </c>
      <c r="WZT7" s="23" t="str">
        <f>IF(WZS7="","",IFERROR(VLOOKUP(WZS7,C:F,2,FALSE),""))</f>
        <v/>
      </c>
      <c r="WZU7" s="23" t="str">
        <f>IF(WZS7="","",IFERROR(VLOOKUP(WZS7,C:F,3,FALSE),""))</f>
        <v/>
      </c>
      <c r="WZV7" s="2" t="s">
        <v>14</v>
      </c>
      <c r="WZW7" s="15" t="str">
        <f>P00!U7</f>
        <v>S</v>
      </c>
      <c r="XAA7">
        <f t="shared" si="0"/>
        <v>1</v>
      </c>
      <c r="XAB7">
        <f>IF(ISNUMBER(XAA7),_xlfn.RANK.EQ(XAA7,$XAA$2:$XAA$254,0)+COUNTIF($XAA$2:XAA7,XAA7)-1,"")</f>
        <v>6</v>
      </c>
      <c r="XAC7" s="11" t="str">
        <f t="shared" si="1"/>
        <v>ahistoriadatelefoniamovelseencontroucomahistoriadoscomputadoresumavezqueatecnologiamovelfoiamplamenteutilizadaeaperfeicoadaaologodosanosdeacordocomosrecursostecnologicosdaepocaoprimeirocelularpesavamaisde40quilosepoderiaserinstaladoemumportamalasdeumcarro considerandoessasinformacoeseoconteudoestudadopodeseafirmarqueonomedesseaparelhoe:</v>
      </c>
    </row>
    <row r="8" spans="3:6 16242:16253" x14ac:dyDescent="0.25">
      <c r="C8" s="17">
        <f t="shared" si="2"/>
        <v>7</v>
      </c>
      <c r="D8" t="s">
        <v>50</v>
      </c>
      <c r="E8" t="s">
        <v>51</v>
      </c>
      <c r="F8" s="9"/>
      <c r="WZR8" s="19" t="str">
        <f>IF(WZS8="","",IFERROR(VLOOKUP(WZS8,C:F,4,FALSE),""))</f>
        <v/>
      </c>
      <c r="WZS8" s="23" t="str">
        <f>IF(WZS4="","",2)</f>
        <v/>
      </c>
      <c r="WZT8" s="23" t="str">
        <f>IF(WZS8="","",IFERROR(VLOOKUP(WZS8,C:F,2,FALSE),""))</f>
        <v/>
      </c>
      <c r="WZU8" s="23" t="str">
        <f>IF(WZS8="","",IFERROR(VLOOKUP(WZS8,C:F,3,FALSE),""))</f>
        <v/>
      </c>
      <c r="WZV8" s="2" t="s">
        <v>14</v>
      </c>
      <c r="WZW8" s="2"/>
      <c r="XAA8">
        <f t="shared" si="0"/>
        <v>1</v>
      </c>
      <c r="XAB8">
        <f>IF(ISNUMBER(XAA8),_xlfn.RANK.EQ(XAA8,$XAA$2:$XAA$254,0)+COUNTIF($XAA$2:XAA8,XAA8)-1,"")</f>
        <v>7</v>
      </c>
      <c r="XAC8" s="11" t="str">
        <f t="shared" si="1"/>
        <v>aideiadetransformarainternetemumgrandemercadodecompravendasinvestimentosenegociosemgeralsurgiulogonoiniciodapopularizacaodoscomputadorespessoaisvariasempresasforampioneirasnesteassuntocomoaamazonporexemploquefoiaprimeiraempresaadisponibilizarplataformasdevendaspelainternet considerandoosconteudosestudadospodeseafirmarqueoconceitodeutilizarferramentasdecomunicacaoparafecharnegocioseumadefinicaode:</v>
      </c>
    </row>
    <row r="9" spans="3:6 16242:16253" ht="15.75" thickBot="1" x14ac:dyDescent="0.3">
      <c r="C9" s="17">
        <f t="shared" si="2"/>
        <v>8</v>
      </c>
      <c r="D9" t="s">
        <v>52</v>
      </c>
      <c r="E9" t="s">
        <v>53</v>
      </c>
      <c r="F9" s="9"/>
      <c r="WZR9" s="20" t="str">
        <f>IF(WZS9="","",IFERROR(VLOOKUP(WZS9,C:F,4,FALSE),""))</f>
        <v/>
      </c>
      <c r="WZS9" s="24" t="str">
        <f>IF(WZS4="","",3)</f>
        <v/>
      </c>
      <c r="WZT9" s="24" t="str">
        <f>IF(WZS9="","",IFERROR(VLOOKUP(WZS9,C:F,2,FALSE),""))</f>
        <v/>
      </c>
      <c r="WZU9" s="24" t="str">
        <f>IF(WZS9="","",IFERROR(VLOOKUP(WZS9,C:F,3,FALSE),""))</f>
        <v/>
      </c>
      <c r="WZV9" s="2" t="s">
        <v>14</v>
      </c>
      <c r="WZW9" s="2"/>
      <c r="XAA9">
        <f t="shared" si="0"/>
        <v>1</v>
      </c>
      <c r="XAB9">
        <f>IF(ISNUMBER(XAA9),_xlfn.RANK.EQ(XAA9,$XAA$2:$XAA$254,0)+COUNTIF($XAA$2:XAA9,XAA9)-1,"")</f>
        <v>8</v>
      </c>
      <c r="XAC9" s="11" t="str">
        <f t="shared" si="1"/>
        <v>ainternetestadisponiveltantonoambientecorporativocomonoambientepessoalelaeutilizadaparanegociosestudoslazerentreoutrasatividadescadaequipamentoeletronicoprecisadeumequipamentointernoouexternoespecificoparaconectarodispositivoainternetesteequipamentorecebeumnumerodehostdeumipepodenavegardeacordocomospadroesestabelecidosdaquelarede tendoemvistaessainformacaoeoconteudoestudadopodeseafirmarqueotrechoacimasereferea/ao:</v>
      </c>
    </row>
    <row r="10" spans="3:6 16242:16253" x14ac:dyDescent="0.25">
      <c r="C10" s="17">
        <f t="shared" si="2"/>
        <v>9</v>
      </c>
      <c r="D10" t="s">
        <v>54</v>
      </c>
      <c r="E10" t="s">
        <v>55</v>
      </c>
      <c r="F10" s="9"/>
      <c r="XAA10">
        <f t="shared" si="0"/>
        <v>1</v>
      </c>
      <c r="XAB10">
        <f>IF(ISNUMBER(XAA10),_xlfn.RANK.EQ(XAA10,$XAA$2:$XAA$254,0)+COUNTIF($XAA$2:XAA10,XAA10)-1,"")</f>
        <v>9</v>
      </c>
      <c r="XAC10" s="11" t="str">
        <f t="shared" si="1"/>
        <v>ainternetouredemundialdecomputadoreseamaiorestruturadetransmissaodedadosdomundoecompostaporumconjuntoderedesinterligadasentresiesecomunicapormeiodeprotocoloseservicosatualmentepodemosacessarainternetempraticamentequalquerdispositivoeletronicoporemseuiniciofoibemmaismodestotudocomecoucomaagenciaarpaqueduranteaguerrafriaconduziuumprojetoparacompartilhamentodeinformacoesconsiderandoissoeoconteudoestudadoepossivelafirmarqueonomedoprojetoquedeuorigemainternetera:</v>
      </c>
    </row>
    <row r="11" spans="3:6 16242:16253" ht="15.75" thickBot="1" x14ac:dyDescent="0.3">
      <c r="C11" s="17">
        <f t="shared" si="2"/>
        <v>10</v>
      </c>
      <c r="D11" t="s">
        <v>56</v>
      </c>
      <c r="E11" t="s">
        <v>57</v>
      </c>
      <c r="F11" s="9"/>
      <c r="XAA11">
        <f t="shared" si="0"/>
        <v>1</v>
      </c>
      <c r="XAB11">
        <f>IF(ISNUMBER(XAA11),_xlfn.RANK.EQ(XAA11,$XAA$2:$XAA$254,0)+COUNTIF($XAA$2:XAA11,XAA11)-1,"")</f>
        <v>10</v>
      </c>
      <c r="XAC11" s="11" t="str">
        <f t="shared" si="1"/>
        <v>aintraneteumaredeinternadeumaorganizacaoqueecompostaapartirdanecessidadedepartilharinformacoesemumambientecorporativoessaredetemcomocaracteristicaamaneiraquedisponibilizaarquivosausuariosquetenhamautorizacaodesegurancaparaacessalosaintranetpodeseracessadainternamenteouexternamenteatravesdepontosdeacessodisponibilizadosemgeralpelaempresaemseusportais considerandooconteudoestudadoeasdefinicoesdeintranetpodemosafirmarqueaintranet:</v>
      </c>
    </row>
    <row r="12" spans="3:6 16242:16253" ht="15.75" x14ac:dyDescent="0.25">
      <c r="C12" s="17">
        <f t="shared" si="2"/>
        <v>11</v>
      </c>
      <c r="D12" t="s">
        <v>58</v>
      </c>
      <c r="E12" t="s">
        <v>59</v>
      </c>
      <c r="F12" s="9"/>
      <c r="WZR12" s="26" t="s">
        <v>21</v>
      </c>
      <c r="WZS12" s="27">
        <v>0</v>
      </c>
      <c r="WZT12" s="27" t="s">
        <v>23</v>
      </c>
      <c r="WZU12" s="28"/>
      <c r="WZW12" s="36"/>
      <c r="XAA12">
        <f t="shared" si="0"/>
        <v>1</v>
      </c>
      <c r="XAB12">
        <f>IF(ISNUMBER(XAA12),_xlfn.RANK.EQ(XAA12,$XAA$2:$XAA$254,0)+COUNTIF($XAA$2:XAA12,XAA12)-1,"")</f>
        <v>11</v>
      </c>
      <c r="XAC12" s="11" t="str">
        <f t="shared" si="1"/>
        <v>amicrosoftcorporationeumaempresaquenasceudosonhode2amigosqueseconheceramnocolegiobillgatesepaulallenaprincipiofundaramaempresacomintuitodefornecerumsoftwareparaoaltair8800dagiganteibmnaquelemomentoaibmprocuravaprogramasparaseuscomputadoresebillgatesgarantiuaelesquetinhaumsistemaoperacionalquepoderiatornaroscomputadoresdaibmmelhoresemaisrapidosnaquelemomentoamicrosoftnaopossuianenhumprogramacomessascaracteristicasporempaulallenconheciaumaempresaquepossuiaumsistemaoperacionalqueatenderiaanecessidadefoientaoem1977queamicrosoftadquiriuosistemaoperacionalquecolocouoscomputadoresdeusopessoalemevidencia considerandoessasinformacoeseoconteudoestudadopodeseafirmarqueonomedessesistemaoperacionale:</v>
      </c>
    </row>
    <row r="13" spans="3:6 16242:16253" x14ac:dyDescent="0.25">
      <c r="C13" s="17">
        <f t="shared" si="2"/>
        <v>12</v>
      </c>
      <c r="D13" t="s">
        <v>60</v>
      </c>
      <c r="E13" t="s">
        <v>61</v>
      </c>
      <c r="F13" s="9"/>
      <c r="WZR13" s="29" t="s">
        <v>17</v>
      </c>
      <c r="WZS13">
        <v>1</v>
      </c>
      <c r="WZT13" t="s">
        <v>24</v>
      </c>
      <c r="WZU13" s="30"/>
      <c r="XAA13">
        <f t="shared" si="0"/>
        <v>1</v>
      </c>
      <c r="XAB13">
        <f>IF(ISNUMBER(XAA13),_xlfn.RANK.EQ(XAA13,$XAA$2:$XAA$254,0)+COUNTIF($XAA$2:XAA13,XAA13)-1,"")</f>
        <v>12</v>
      </c>
      <c r="XAC13" s="11" t="str">
        <f t="shared" si="1"/>
        <v>aoobservarmosasempresassabemosquecadasistemadeinformacaocumpreumpapelespecificodentreessespapeispodemosdestacarocontroledeprocessosetransacoescomosistemaschavepoiselesfornecemosrespectivosdadosaosdemaisseguimentos considerandoessaafirmacaoeoconteudoestudadopodemosafirmarqueosseguintestiposdesistemasdeinformacaoapoiamoniveloperacional:</v>
      </c>
    </row>
    <row r="14" spans="3:6 16242:16253" x14ac:dyDescent="0.25">
      <c r="C14" s="17">
        <f t="shared" si="2"/>
        <v>13</v>
      </c>
      <c r="D14" t="s">
        <v>62</v>
      </c>
      <c r="E14" t="s">
        <v>63</v>
      </c>
      <c r="F14" s="9"/>
      <c r="WZR14" s="29" t="s">
        <v>17</v>
      </c>
      <c r="WZS14">
        <v>2</v>
      </c>
      <c r="WZT14" t="s">
        <v>25</v>
      </c>
      <c r="WZU14" s="30"/>
      <c r="XAA14">
        <f t="shared" si="0"/>
        <v>1</v>
      </c>
      <c r="XAB14">
        <f>IF(ISNUMBER(XAA14),_xlfn.RANK.EQ(XAA14,$XAA$2:$XAA$254,0)+COUNTIF($XAA$2:XAA14,XAA14)-1,"")</f>
        <v>13</v>
      </c>
      <c r="XAC14" s="11" t="str">
        <f t="shared" si="1"/>
        <v>astecnologiasdainternetsaocompostaspordiversosequipamentosfisicoseestruturaslogicasdentreasestruturasfisicassempretemosaimpressaodesalientarosservidoreseoscabeamentosporemexisteumequipamentoqueeigualmenteimportanteerespondepelaconexaodeumambienteinternocomainternet tendoemvistaessainformacaoeoconteudoestudadopodeseafirmarqueotrechoacimaserefereao:</v>
      </c>
    </row>
    <row r="15" spans="3:6 16242:16253" x14ac:dyDescent="0.25">
      <c r="C15" s="17">
        <f t="shared" si="2"/>
        <v>14</v>
      </c>
      <c r="D15" t="s">
        <v>64</v>
      </c>
      <c r="E15" t="s">
        <v>65</v>
      </c>
      <c r="F15" s="9"/>
      <c r="WZR15" s="29" t="s">
        <v>17</v>
      </c>
      <c r="WZS15">
        <v>3</v>
      </c>
      <c r="WZT15" t="s">
        <v>18</v>
      </c>
      <c r="WZU15" s="30"/>
      <c r="XAA15">
        <f t="shared" si="0"/>
        <v>1</v>
      </c>
      <c r="XAB15">
        <f>IF(ISNUMBER(XAA15),_xlfn.RANK.EQ(XAA15,$XAA$2:$XAA$254,0)+COUNTIF($XAA$2:XAA15,XAA15)-1,"")</f>
        <v>14</v>
      </c>
      <c r="XAC15" s="11" t="str">
        <f t="shared" si="1"/>
        <v>comaevolucaodainternetduranteosanosossitesqueanteseramambientesapenaspassivosemqueasinformacoeseramdisponibilizadassetornaramambientesdinamicoseativosousodebancodedadoswebeumapraticaquevemsepopularizandoduranteosanos:umsitequeealimentadoporinformacoespermitequeonegociodaempresapossacaminharemparalelocomodesejodocliente dentreasprofissoeswebexisteumprofissionalquetrabalhaespecificamenteparagarantiramelhorformadereceberosdadosproduzidospelainternetetransformalosemfontedenegocioconsiderandooconteudoestudadopodeseafirmarqueesseprofissionaleo:</v>
      </c>
    </row>
    <row r="16" spans="3:6 16242:16253" ht="15.75" thickBot="1" x14ac:dyDescent="0.3">
      <c r="C16" s="17">
        <f t="shared" si="2"/>
        <v>15</v>
      </c>
      <c r="D16" t="s">
        <v>66</v>
      </c>
      <c r="E16" t="s">
        <v>67</v>
      </c>
      <c r="F16" s="9"/>
      <c r="WZR16" s="31" t="s">
        <v>19</v>
      </c>
      <c r="WZS16" s="32">
        <v>4</v>
      </c>
      <c r="WZT16" s="32" t="s">
        <v>20</v>
      </c>
      <c r="WZU16" s="33"/>
      <c r="XAA16">
        <f t="shared" si="0"/>
        <v>1</v>
      </c>
      <c r="XAB16">
        <f>IF(ISNUMBER(XAA16),_xlfn.RANK.EQ(XAA16,$XAA$2:$XAA$254,0)+COUNTIF($XAA$2:XAA16,XAA16)-1,"")</f>
        <v>15</v>
      </c>
      <c r="XAC16" s="11" t="str">
        <f t="shared" si="1"/>
        <v>comoavancodastecnologiasaplicadasainternetdiversosservicoscomecaramaserdisponibilizadosporempresasafimdemanterosusuariosemsuasplataformaseaproveitaresteacessoparapromovermarcaseassimtransformarusuariosemclientespotenciaisestapraticavemsendoaperfeicoadaduranteosanosehojejapodemosencontrarservicosquesaobaseadosemconsumodentreosservicosutilizadospelosusuariosnainternetexisteumaestruturaquefoicriadacombaseeminteressesemcomumpartilhandoexperienciassobredeterminadoassuntoeestaestruturatemauxiliadonadisseminacaodeinformacoesetemsidoutilizadacomintuitodemarketingedivulgacao considerandoessasinformacoeseoconteudoestudadopodeseafirmarqueestamosfalandosobre:</v>
      </c>
    </row>
    <row r="17" spans="3:6 16242:16253" ht="15.75" thickBot="1" x14ac:dyDescent="0.3">
      <c r="C17" s="17">
        <f t="shared" si="2"/>
        <v>16</v>
      </c>
      <c r="D17" t="s">
        <v>68</v>
      </c>
      <c r="E17" t="s">
        <v>69</v>
      </c>
      <c r="F17" s="9"/>
      <c r="WZR17" s="34" t="s">
        <v>22</v>
      </c>
      <c r="WZS17" s="35">
        <f>IF(SUM(XAA:XAA)&gt;3,4,SUM(XAA:XAA))</f>
        <v>4</v>
      </c>
      <c r="WZT17" s="57" t="str">
        <f>VLOOKUP(WZS17,WZS12:WZU16,2,FALSE)</f>
        <v xml:space="preserve">😐 Seja mais específico!	</v>
      </c>
      <c r="WZU17" s="58"/>
      <c r="XAA17">
        <f t="shared" si="0"/>
        <v>1</v>
      </c>
      <c r="XAB17">
        <f>IF(ISNUMBER(XAA17),_xlfn.RANK.EQ(XAA17,$XAA$2:$XAA$254,0)+COUNTIF($XAA$2:XAA17,XAA17)-1,"")</f>
        <v>16</v>
      </c>
      <c r="XAC17" s="11" t="str">
        <f t="shared" si="1"/>
        <v>comousoeapopularizacaodainternetnovasprofissoesforamsurgindorelacionadasaousofisicodainternetaproducaodeconteudoaodesenvolvimentodeambientesvirtuaisouatemesmoacriacaodemercadosvirtuaisparacompraevendadentreasprofissoesquesurgiramcomainternetumadelassedestacacomoaprincipalpoisseusprofissionaisfazemtodootrabalhodearquiteturadepaginasnainternetcombinandotecnologiaselinguagensafimdepermitirqueonavegadorentendaeapresenteasinformacoescontidasemumsite considerandooconteudoestudadoepossivelafirmarqueesseprofissionaldedestaqueeo:</v>
      </c>
    </row>
    <row r="18" spans="3:6 16242:16253" x14ac:dyDescent="0.25">
      <c r="C18" s="17">
        <f t="shared" si="2"/>
        <v>17</v>
      </c>
      <c r="D18" t="s">
        <v>70</v>
      </c>
      <c r="E18" t="s">
        <v>71</v>
      </c>
      <c r="F18" s="9"/>
      <c r="XAA18">
        <f t="shared" si="0"/>
        <v>1</v>
      </c>
      <c r="XAB18">
        <f>IF(ISNUMBER(XAA18),_xlfn.RANK.EQ(XAA18,$XAA$2:$XAA$254,0)+COUNTIF($XAA$2:XAA18,XAA18)-1,"")</f>
        <v>17</v>
      </c>
      <c r="XAC18" s="11" t="str">
        <f t="shared" si="1"/>
        <v>compreendemosquesistemasdeinformacaosaosistemascomplexosquetendemarealizartarefasemumsistemacomputacionalnoramoempresarialsabemosqueexistemclassificacoesdesistemasdeinformacaoessessistemasatendememgeraltresniveisorganizacionaisestrategicogerencialeoperacional considerandoessasinformacoeseoconteudoestudadopodemosafirmarqueostiposdesistemasdeinformacaoqueapoiamonivelestrategicosao:</v>
      </c>
    </row>
    <row r="19" spans="3:6 16242:16253" x14ac:dyDescent="0.25">
      <c r="C19" s="17">
        <f t="shared" si="2"/>
        <v>18</v>
      </c>
      <c r="D19" t="s">
        <v>72</v>
      </c>
      <c r="E19" t="s">
        <v>73</v>
      </c>
      <c r="F19" s="9"/>
      <c r="XAA19">
        <f t="shared" si="0"/>
        <v>1</v>
      </c>
      <c r="XAB19">
        <f>IF(ISNUMBER(XAA19),_xlfn.RANK.EQ(XAA19,$XAA$2:$XAA$254,0)+COUNTIF($XAA$2:XAA19,XAA19)-1,"")</f>
        <v>18</v>
      </c>
      <c r="XAC19" s="11" t="str">
        <f t="shared" si="1"/>
        <v>dashboardsaopaineisinterativosdecontroleeacessoadiversasinformacoesespeciaiseindicadoresdeumaoumaissituacoesquesaoimportantesparaonegociodeumadeterminadaempresadentresuascaracteristicaspodemosdestacaragrandequantidadededadosquepodemservisualizadosrapidamentetornandoatomadadedecisaoalgomaissimpleseobjetivaconsiderandoasmaneirasdeumadashboardapresentarosconteudosaosusuariospodemosafirmarqueos______________________naopodemserusadasdeformavisualemumadashboard</v>
      </c>
    </row>
    <row r="20" spans="3:6 16242:16253" x14ac:dyDescent="0.25">
      <c r="C20" s="17">
        <f t="shared" si="2"/>
        <v>19</v>
      </c>
      <c r="D20" t="s">
        <v>74</v>
      </c>
      <c r="E20" t="s">
        <v>75</v>
      </c>
      <c r="F20" s="9"/>
      <c r="XAA20">
        <f t="shared" si="0"/>
        <v>1</v>
      </c>
      <c r="XAB20">
        <f>IF(ISNUMBER(XAA20),_xlfn.RANK.EQ(XAA20,$XAA$2:$XAA$254,0)+COUNTIF($XAA$2:XAA20,XAA20)-1,"")</f>
        <v>19</v>
      </c>
      <c r="XAC20" s="11" t="str">
        <f t="shared" si="1"/>
        <v>dataminingeumconceitoabrangentequevisadescobrirregrasidentificarfatoresdescobrirpadroesderelacionamentoscompreendertendenciaschaveseobtervantagemcompetitivaseuusoegeneralistaesuasinformacoesvemdediversasfontescomoanalisedemercadoporexemplomineracaodeconteudodawebeoprocessodeextracaodeconhecimentodoconteudodedocumentosedeseusmetadadosdescricaoinformacoessobreautorespalavraschaveetcfonte:santosrafaelconceitosdemineracaodedadosnaweb2009disponivelem:&lt;http://wwwlacinpebr/~rafaelsantos/docs/webmedia/2009/webmedia2009pdf&gt;acesso24fev2019sabendoqueossistemasdewebminingsaoatreladosacapturadedadosatravesdainternetexistemfontesdedadosaseremconsideradascomo: apaginasdetextosbdadosmultimidiacgruposdediscussoesdemailseblogsconsiderandoessasinformacoeseoconteudoestudadosobredataminingecorretoafirmarque:</v>
      </c>
    </row>
    <row r="21" spans="3:6 16242:16253" x14ac:dyDescent="0.25">
      <c r="C21" s="17">
        <f t="shared" si="2"/>
        <v>20</v>
      </c>
      <c r="D21" t="s">
        <v>76</v>
      </c>
      <c r="E21" t="s">
        <v>77</v>
      </c>
      <c r="F21" s="9"/>
      <c r="XAA21">
        <f t="shared" si="0"/>
        <v>1</v>
      </c>
      <c r="XAB21">
        <f>IF(ISNUMBER(XAA21),_xlfn.RANK.EQ(XAA21,$XAA$2:$XAA$254,0)+COUNTIF($XAA$2:XAA21,XAA21)-1,"")</f>
        <v>20</v>
      </c>
      <c r="XAC21" s="11" t="str">
        <f t="shared" si="1"/>
        <v>dentreasevolucoesdaconectividadeautilizacaodesinaisderadioparaconectarosdiversoscomponenteseletronicosaomesmomeiofisicofoiummarcohistoricoapossibilidadedeconexaosemfiopromoveuumavancoconsideravelnavariedadedeequipamentoscapazesdeseconectarainternetarevolucaofoitantaquesecriouoconceitoconhecidocomoiotinternetofthingsesteconceitoapoiaaideiadequequalquercoisapodeserprojetadaparaserumhostemumarede combasenoconteudoestudadoassinaledentreosequipamentosabaixoqualtemacapacidadedeenviarsinaisderadioparaaconexaodeequipamentos</v>
      </c>
    </row>
    <row r="22" spans="3:6 16242:16253" x14ac:dyDescent="0.25">
      <c r="C22" s="17">
        <f t="shared" si="2"/>
        <v>21</v>
      </c>
      <c r="D22" t="s">
        <v>78</v>
      </c>
      <c r="E22" t="s">
        <v>47</v>
      </c>
      <c r="F22" s="9"/>
      <c r="XAA22">
        <f t="shared" si="0"/>
        <v>1</v>
      </c>
      <c r="XAB22">
        <f>IF(ISNUMBER(XAA22),_xlfn.RANK.EQ(XAA22,$XAA$2:$XAA$254,0)+COUNTIF($XAA$2:XAA22,XAA22)-1,"")</f>
        <v>21</v>
      </c>
      <c r="XAC22" s="11" t="str">
        <f t="shared" si="1"/>
        <v>dentreaspossibilidadesdousoderededecomputadoressabemosqueocompartilhamentodeinformacoesedelongeamaiorvantagemdesdeacriacaodasredesdecomputadoresnofinalde1969opropositosemprefoipromoverocompartilhamentodeinformacoesentreosusuariosedessaformapromoverumconjuntodesolucoesquepermitissequevariosusuariospudessemusufruirdamesmainformacao arespeitodaspossibilidadesdecompartilhamentodeinformacoeseconsiderandoosconteudosestudadosanaliseasafirmativasaseguireassinalevparaasverdadeirasefparaasfalsasiocompartilhamentodearquivosenecessarioparaquediversosusuariospossamteracessoaomesmoarquivopromovendoacolaboracaodetarefasdeformasimultaneaiiocompartilhamentodesistemaseumapraticaassertivanasredesdecomputadorespoisepossivelmanterabasededadosemapenasumservidorepartilharasinformacoescomosdemaisusuariosiii ocompartilhamentodeimpressorasauxilianareducaodoscustoscomimpressaoemanutencaodessesequipamentosalemdeauxiliaremumaplenagerenciadeusodesteativoiv  ocompartilhamentoderecursosinformatizadospromoveorganizacaoapesardoaumentodecustoselentidaodonegocioagoraassinaleaalternativaqueapresentaasequenciacorreta:</v>
      </c>
    </row>
    <row r="23" spans="3:6 16242:16253" x14ac:dyDescent="0.25">
      <c r="C23" s="17">
        <f t="shared" si="2"/>
        <v>22</v>
      </c>
      <c r="D23" t="s">
        <v>79</v>
      </c>
      <c r="E23" t="s">
        <v>80</v>
      </c>
      <c r="F23" s="9"/>
      <c r="XAA23">
        <f t="shared" si="0"/>
        <v>1</v>
      </c>
      <c r="XAB23">
        <f>IF(ISNUMBER(XAA23),_xlfn.RANK.EQ(XAA23,$XAA$2:$XAA$254,0)+COUNTIF($XAA$2:XAA23,XAA23)-1,"")</f>
        <v>22</v>
      </c>
      <c r="XAC23" s="11" t="str">
        <f t="shared" si="1"/>
        <v>dentreosprincipaissistemasdeinformacaoexisteumquetemcaracteristicasimportantespoisatendetodososaspectosoperacionaisegerenciaisdamaioriadasempresasessesistemaautomatizaosprocessoseintegramasatividadesdevendasfinancascontabilidadefiscalestoquecomprasrecursoshumanosproducaoelogistica considerandoessasinformacoeseoconteudoestudadopodemosafirmarqueosistemadeinformacaoquetemessascaracteristicaseo:</v>
      </c>
    </row>
    <row r="24" spans="3:6 16242:16253" x14ac:dyDescent="0.25">
      <c r="C24" s="17">
        <f t="shared" si="2"/>
        <v>23</v>
      </c>
      <c r="D24" t="s">
        <v>81</v>
      </c>
      <c r="E24" t="s">
        <v>82</v>
      </c>
      <c r="F24" s="9"/>
      <c r="XAA24">
        <f t="shared" si="0"/>
        <v>1</v>
      </c>
      <c r="XAB24">
        <f>IF(ISNUMBER(XAA24),_xlfn.RANK.EQ(XAA24,$XAA$2:$XAA$254,0)+COUNTIF($XAA$2:XAA24,XAA24)-1,"")</f>
        <v>23</v>
      </c>
      <c r="XAC24" s="11" t="str">
        <f t="shared" si="1"/>
        <v>dentreossistemasdeinformacaoemumaorganizacaotemosumquesedestacanaentregadoprodutofinalaoclienteessessistemasvisamorganizarasprincipaisvertenteslogisticasedeproducaoparaqueesseprodutochegueaoclientecomumnivelbomdesatisfacaoconsiderandoessasinformacoeseoconteudoestudadopodemosafirmarqueosistemadeinformacaoquetemessascaracteristicaseo:</v>
      </c>
    </row>
    <row r="25" spans="3:6 16242:16253" x14ac:dyDescent="0.25">
      <c r="C25" s="17">
        <f t="shared" si="2"/>
        <v>24</v>
      </c>
      <c r="D25" t="s">
        <v>83</v>
      </c>
      <c r="E25" t="s">
        <v>84</v>
      </c>
      <c r="F25" s="9"/>
      <c r="XAA25">
        <f t="shared" si="0"/>
        <v>1</v>
      </c>
      <c r="XAB25">
        <f>IF(ISNUMBER(XAA25),_xlfn.RANK.EQ(XAA25,$XAA$2:$XAA$254,0)+COUNTIF($XAA$2:XAA25,XAA25)-1,"")</f>
        <v>24</v>
      </c>
      <c r="XAC25" s="11" t="str">
        <f t="shared" si="1"/>
        <v>emummundocheiodeinformacoesoscuidadoscomainformacaosaoprimordiaisparaofuturodaorganizacaosabemosqueaprotecaovememprimeirolugareoscuidadosdevemsertomadosparagarantirqueasinformacoesestejamsegurasedisponiveisquandoforemnecessarias asegurancadainformacaoeocampoqueestudaosaspectosdaprotecaoedisponibilidadedessasinformacoesconsiderandoessasinformacoeseosconteudosestudadospodemosdividirasegurancadainformacaoemdoisaspectosfundamentais:</v>
      </c>
    </row>
    <row r="26" spans="3:6 16242:16253" x14ac:dyDescent="0.25">
      <c r="C26" s="17">
        <f t="shared" si="2"/>
        <v>25</v>
      </c>
      <c r="D26" t="s">
        <v>85</v>
      </c>
      <c r="E26" t="s">
        <v>86</v>
      </c>
      <c r="F26" s="9"/>
      <c r="XAA26">
        <f t="shared" si="0"/>
        <v>1</v>
      </c>
      <c r="XAB26">
        <f>IF(ISNUMBER(XAA26),_xlfn.RANK.EQ(XAA26,$XAA$2:$XAA$254,0)+COUNTIF($XAA$2:XAA26,XAA26)-1,"")</f>
        <v>25</v>
      </c>
      <c r="XAC26" s="11" t="str">
        <f t="shared" si="1"/>
        <v>emumaorganizacaoagerenciadeprocessoseumdositensdemaiorpreocupacaodosgestoresabuscaporsolucoesquepermitamotimizarotrabalhoepormuitasvezesdesburocratizarsetoresvemsidoumdosgrandesdesafiosdegerentespensandonissosurgiuumtipodesistemaquemantemseufoconosprocessosgarantindoumaqualidadesuperiordelesetrazendobeneficiosasempresas considerandoessasinformacoeseoconteudoestudadopodemosafirmarqueosistemadeinformacaoquetemessascaracteristicaseo:</v>
      </c>
    </row>
    <row r="27" spans="3:6 16242:16253" x14ac:dyDescent="0.25">
      <c r="C27" s="17">
        <f t="shared" si="2"/>
        <v>26</v>
      </c>
      <c r="D27" t="s">
        <v>87</v>
      </c>
      <c r="E27" t="s">
        <v>88</v>
      </c>
      <c r="F27" s="9"/>
      <c r="XAA27">
        <f t="shared" si="0"/>
        <v>1</v>
      </c>
      <c r="XAB27">
        <f>IF(ISNUMBER(XAA27),_xlfn.RANK.EQ(XAA27,$XAA$2:$XAA$254,0)+COUNTIF($XAA$2:XAA27,XAA27)-1,"")</f>
        <v>26</v>
      </c>
      <c r="XAC27" s="11" t="str">
        <f t="shared" si="1"/>
        <v>emumaorganizacaooscuidadoscomosclientessaofundamentaisparacompreenderasnecessidadesedesejosdelesgerenciarasinformacoesdosclientesenvolvepraticasqueprecisamdeapoiodesistemasgerenciaisquepermitamqueaempresautilizeestrategiasdefidelizacaoeconduta considerandoessasinformacoeseoconteudoafirmadoecorretoafirmarqueosistemadeinformacoesquetemessascaracteristicaseo:</v>
      </c>
    </row>
    <row r="28" spans="3:6 16242:16253" x14ac:dyDescent="0.25">
      <c r="C28" s="17">
        <f t="shared" si="2"/>
        <v>27</v>
      </c>
      <c r="D28" t="s">
        <v>89</v>
      </c>
      <c r="E28" t="s">
        <v>90</v>
      </c>
      <c r="F28" s="9"/>
      <c r="XAA28">
        <f t="shared" si="0"/>
        <v>1</v>
      </c>
      <c r="XAB28">
        <f>IF(ISNUMBER(XAA28),_xlfn.RANK.EQ(XAA28,$XAA$2:$XAA$254,0)+COUNTIF($XAA$2:XAA28,XAA28)-1,"")</f>
        <v>27</v>
      </c>
      <c r="XAC28" s="11" t="str">
        <f t="shared" si="1"/>
        <v>existemmilharesdesoftwarescadaumdelescomobjetivosespecificosecomsuascaracteristicassaoossoftwaresquedaovidaaoscomputadoresepermitemqueosusuariospossammanipulalosrealizaratividadesdodiaadiaesolucionarproblemasossoftwaressempretemumobjetivodesdeorganizarinformacoesemplanilhasdecalculodigitacaodeumtextoedicaodeimagensvideosetccadaumdelessegueumalogicaevisaatenderousuariodamaneiramaissimpleseeficientepossivel considerandoessasinformacoeseoconteudoestudadoanaliseasafirmativasaseguireassinalevparaasverdadeirasefparaasfalsas podemosconsiderarsoftwarequalquerequipamentoeletronicodisponivelemumsistemascomputacional softwaresdeaplicacaosaoprogramasquetemcomoobjetivocumpriralgumatarefanocomputador softwaredesistemassaoprogramasquepermitemofuncionamentodeumcomputadoresaoagregadosaossistemasoperacionais ossoftwarespodemcumprirdiversastarefasemumsistemacomputacionalincluindoviabilizarofuncionamentodeperifericos</v>
      </c>
    </row>
    <row r="29" spans="3:6 16242:16253" x14ac:dyDescent="0.25">
      <c r="C29" s="17">
        <f t="shared" si="2"/>
        <v>28</v>
      </c>
      <c r="D29" t="s">
        <v>91</v>
      </c>
      <c r="E29" t="s">
        <v>92</v>
      </c>
      <c r="F29" s="9"/>
      <c r="XAA29">
        <f t="shared" si="0"/>
        <v>1</v>
      </c>
      <c r="XAB29">
        <f>IF(ISNUMBER(XAA29),_xlfn.RANK.EQ(XAA29,$XAA$2:$XAA$254,0)+COUNTIF($XAA$2:XAA29,XAA29)-1,"")</f>
        <v>28</v>
      </c>
      <c r="XAC29" s="11" t="str">
        <f t="shared" si="1"/>
        <v> aextranetrefereseaumarededecomputadoresqueutilizaainternetparapartilharpartedeseusistemadeinformacaocomsegurancaumextranetpermiteacessoexternocontroladoparanegociosespecificosouprojetoseducacionaisasempresasutilizamessesistemaparamanterorelacionamentocomseusparceirosclientesefornecedores fonte:oqueeextreanet?disponivelem:&lt;https://canaltechcombr/internet/oqueeextranet/&gt;acessoem:03mar2019combasenoconteudoestudadosobreaextranetecorretoafirmarque:</v>
      </c>
    </row>
    <row r="30" spans="3:6 16242:16253" x14ac:dyDescent="0.25">
      <c r="C30" s="17">
        <f t="shared" si="2"/>
        <v>29</v>
      </c>
      <c r="D30" t="s">
        <v>93</v>
      </c>
      <c r="E30" t="s">
        <v>94</v>
      </c>
      <c r="F30" s="9"/>
      <c r="XAA30">
        <f t="shared" si="0"/>
        <v>1</v>
      </c>
      <c r="XAB30">
        <f>IF(ISNUMBER(XAA30),_xlfn.RANK.EQ(XAA30,$XAA$2:$XAA$254,0)+COUNTIF($XAA$2:XAA30,XAA30)-1,"")</f>
        <v>29</v>
      </c>
      <c r="XAC30" s="11" t="str">
        <f t="shared" si="1"/>
        <v>agentenaoprecisatermedodatecnologiaelasvaopermitirnovasparceriasentrehomememaquinaquevaomelhorarasatividadescotidianasedotrabalhooempregonaovaisumirmasasestruturasdasempresasvaomudardizluisgoncalvespresidentedadellemcbrasilparacomercialfonte:pegnastecnologiasquepodemimpactarsuavidaem2030pequenasempresasgrandesnegocios2017disponivelem:&lt;https://revistapegnglobocom/startups/noticia/2017/07/4tecnologiaspodemimpactarsuavidaem2030html&gt;acessoem:12out2020considerandoestasinformacoeseoconteudosobretendenciastecnologicasanaliseas5tendenciasdisponiveisaseguireasassocieasuasrespectivastecnologias1hiperconectividade2supercomputacao3computacaoemnuvem4mundointeligente5segurancacibernetica computacaoinmemorybigdata sensoresroboticaindustria40impressao3dmachinelearninginteligenciaartificial redessociaisedenegociosinternetdascoisasiotmobilidade softwarecomoservicosaasplataformacomoservicopaasinfraestruturacomoservicoiaas segurancadedadossegurancanasinteracoessegurancanasidentidadesagoraassinaleaalternativaqueapresentaasequenciacorreta:</v>
      </c>
    </row>
    <row r="31" spans="3:6 16242:16253" x14ac:dyDescent="0.25">
      <c r="C31" s="17">
        <f t="shared" si="2"/>
        <v>30</v>
      </c>
      <c r="D31" t="s">
        <v>95</v>
      </c>
      <c r="E31" t="s">
        <v>96</v>
      </c>
      <c r="F31" s="9"/>
      <c r="XAA31">
        <f t="shared" si="0"/>
        <v>1</v>
      </c>
      <c r="XAB31">
        <f>IF(ISNUMBER(XAA31),_xlfn.RANK.EQ(XAA31,$XAA$2:$XAA$254,0)+COUNTIF($XAA$2:XAA31,XAA31)-1,"")</f>
        <v>30</v>
      </c>
      <c r="XAC31" s="11" t="str">
        <f t="shared" si="1"/>
        <v>aalexaeonomedainteligenciaartificialquepermitequeoechoconsigaresponderperguntaseconectarobjetosinteligentesdeparceirosdaamazontambemepossivelusaroaparelhoparaoutrasfuncionalidadescomoouvirnoticiasdog1pedirumubercomprarnaamazonousabercomofoiojogodoseutimecomasnoticiasdogloboesportefonte:lavadotamazonlancaalexaedispositivosechonobrasilglobocom2019disponivelem:&lt;https://g1globocom/economia/tecnologia/noticia/2019/10/03/amazonlancaalexaedispositivosechonobrasilghtml&gt;acessoem:11out2020considerandoessasinformacoeseoconteudoestudadosobreassistentesdigitaisanaliseasafirmativasaseguireassinalevparaasverdadeirasefparaasfalsasicadadispositivoeletronicocomosmartphonelaptopoucentraldeumacasainteligentedeveterumassistentedigitalespecificoiihaumapreocupacaoacercadequecomautilizacaodeassistentesdigitaisaspessoasfiquemmaisdistraidaseproduzammenosiiiumavantagemdosassistentesdigitaisesuaflexibilidadeelespodemserutilizadosemdiversoslocaiscasatrabalhoetcivdeacordocomadeclaracaodeusuariosdeassistentesdigitaisomotivoprincipalparaosutilizaremeporquesaofuncionaisagoraassinaleaalternativaqueapresentaasequenciacorreta:</v>
      </c>
    </row>
    <row r="32" spans="3:6 16242:16253" x14ac:dyDescent="0.25">
      <c r="C32" s="17">
        <f t="shared" si="2"/>
        <v>31</v>
      </c>
      <c r="D32" t="s">
        <v>97</v>
      </c>
      <c r="E32" t="s">
        <v>98</v>
      </c>
      <c r="F32" s="9"/>
      <c r="XAA32">
        <f t="shared" si="0"/>
        <v>1</v>
      </c>
      <c r="XAB32">
        <f>IF(ISNUMBER(XAA32),_xlfn.RANK.EQ(XAA32,$XAA$2:$XAA$254,0)+COUNTIF($XAA$2:XAA32,XAA32)-1,"")</f>
        <v>31</v>
      </c>
      <c r="XAC32" s="11" t="str">
        <f t="shared" si="1"/>
        <v>acomissaoalertaqueasimplicacoeseticasesociaisdatecnologiaprecisamconsideraroentrelacamentofundamentaldosdominioshumanoetecnologicoossereshumanossaoserestecnologicosassimcomoastecnologiassaoentidadessociaiseseremcapazesdedistinguirosimpactosnonivelindividualautonomiaidentidadedignidadeprivacidadeeprotecaodedadoseosimpactosnonivelsocialjusticaeequidadeidentidadecoletivaeboavidaresponsabilidadeetransparenciademocraciaconfiancafonte:kaufmandprincipioseticosgeraisvsregraspraticas:reflexoessobreoaiguidebookdogooglerevistaepoca2020disponivelem:&lt;https://epocanegociosglobocom/colunas/iagora/noticia/2020/07/principioseticosgeraisvsregraspraticasreflexoessobreoaiguidebookdogooglehtml&gt;acessoem:02ago2020considerandoessasinformacoeseoconteudoestudadosobrecomputacaoubiquaeeticaanaliseasafirmativasaseguir:iasmaquinasautonomastrazematonaodilemaeticodopaternalismo:imporumasolucaoviolaaautonomiamasnaoimporpodefazercomquenaosejafeitooqueemelhorparaooutroiiapossibilidadedearealidadevirtualserempregadaemacoesfisicascomocirurgiaslevantaodilemaetico:seraqueaambiguidadedacomunicacaoadistanciapodeprejudicaroprocedimento?iiiodilemaeticodaprivacidadedeinformacoesdacomputacaoubiquarefereseapresencadecamerasemicrofonesemtodososambienteseapossibilidadedequeestessejamhackeadosivumgrandedilemadacomputacaoubiquaeaatribuicaoderesponsabilidadesseadecisaodeumamaquinacausaumacatastrofedequemearesponsabilidade?doprogramadordaempresadosupervisor?estacorretoapenasoqueseafirmaem:</v>
      </c>
    </row>
    <row r="33" spans="3:6 16251:16253" x14ac:dyDescent="0.25">
      <c r="C33" s="17">
        <f t="shared" si="2"/>
        <v>32</v>
      </c>
      <c r="D33" t="s">
        <v>99</v>
      </c>
      <c r="E33" t="s">
        <v>30</v>
      </c>
      <c r="F33" s="9"/>
      <c r="XAA33">
        <f t="shared" si="0"/>
        <v>1</v>
      </c>
      <c r="XAB33">
        <f>IF(ISNUMBER(XAA33),_xlfn.RANK.EQ(XAA33,$XAA$2:$XAA$254,0)+COUNTIF($XAA$2:XAA33,XAA33)-1,"")</f>
        <v>32</v>
      </c>
      <c r="XAC33" s="11" t="str">
        <f t="shared" si="1"/>
        <v>aindustria40temsidocaracterizadapelaincorporacaodeemergentestecnologiasdeinformacaoaoambientedeproducaopromovendosubstanciaisganhosdeprodutividadeeflexibilidadeetransformandoanaturezadotrabalhoindustrialmaisdoqueissoseusimpactosatingemtodaaesferaempresarialpoliticaeconomicaesocial[]fonte:tessarinigsaltoratopimpactosdaindustria40naorganizacaodotrabalho:umarevisaosistematicadaliteraturarevistaproducaoonline18n2p7437692018p743considerandootrechoacimaeoconteudoestudadosobredemandashumanaseculturaisdaindustria40analiseasafirmativasaseguireassinalevparaasverdadeirasefparaasfalsas:iprofissionaisqualificadosprincipalmenteaquelesqueiraocomandarasanalisesdosdadosprovenientesdaproducaosaofundamentaisparaquesedesfrutederesultadospositivosnaindustria40iiumavezadotadasastecnologiasdaindustria40oretornosobreoinvestimentoviragradualmenteemcurtooumedioprazojanosproximosmesesseguidosdainstalacaoiiiapreocupacaocomasegurancadedadosestarelacionadaaconfiabilidadeumavezquemuitasdecisoesseraotomadasbaseadasnasanalisesdosmesmosivasegurancasobrevazamentodeinformacoeseirrelevantejaquecomtantosdadosnobancoaconcorrenciaestaraimpossibilitadadesabercomolerouoqueprocuraragoraassinaleaalternativaqueapresentaasequenciacorreta:</v>
      </c>
    </row>
    <row r="34" spans="3:6 16251:16253" x14ac:dyDescent="0.25">
      <c r="C34" s="17">
        <f t="shared" si="2"/>
        <v>33</v>
      </c>
      <c r="D34" t="s">
        <v>100</v>
      </c>
      <c r="E34" t="s">
        <v>101</v>
      </c>
      <c r="F34" s="9"/>
      <c r="XAA34">
        <f t="shared" si="0"/>
        <v>1</v>
      </c>
      <c r="XAB34">
        <f>IF(ISNUMBER(XAA34),_xlfn.RANK.EQ(XAA34,$XAA$2:$XAA$254,0)+COUNTIF($XAA$2:XAA34,XAA34)-1,"")</f>
        <v>33</v>
      </c>
      <c r="XAC34" s="11" t="str">
        <f t="shared" si="1"/>
        <v>aindustria40temsidodescritacomooproximomodeloindustrialparaquepossaserdefatoimplementadaemsistemasreaishanecessidadedeseestruturarossistemasdecontroleegestaodosprocessosenvolvidosoquesegundodiversosautoresserarealizadopelossistemasciberfisicoscpsepelainternetdascoisasiotfonte:pischingmtascaaapessoamajunqueirafetalarquiteturaparadesenvolvimentodesistemasciberfisicosaplicadosnaindustria40xiiisimposiobrasileirodeautomacaointeligenteinteligente2017p326considerandoessasinformacoeseoconteudoestudadosobreasprincipaiscaracteristicasdaindustria40analiseasassercoesaseguirearelacaoentreelasiopoderdo1%estarelacionadoaotimizacoesquepodemgerargrandesresultadosmuitasvezesrelacionadosaeconomiaemcustosoperacionaisqueemumperiodorepresentamgrandesquantiasporqueiiossistemasciberfisicospossibilitamarealizacaodesimulacoesfidedignasjaqueosparametrossaoalimentadosporinformacoesreaisdefuncionamentodaplantadeproducaooquepermiteprocurarotimizacoesaseguirassinaleaalternativacorreta:</v>
      </c>
    </row>
    <row r="35" spans="3:6 16251:16253" x14ac:dyDescent="0.25">
      <c r="C35" s="17">
        <f t="shared" si="2"/>
        <v>34</v>
      </c>
      <c r="D35" t="s">
        <v>102</v>
      </c>
      <c r="E35" t="s">
        <v>31</v>
      </c>
      <c r="F35" s="9"/>
      <c r="XAA35">
        <f t="shared" si="0"/>
        <v>1</v>
      </c>
      <c r="XAB35">
        <f>IF(ISNUMBER(XAA35),_xlfn.RANK.EQ(XAA35,$XAA$2:$XAA$254,0)+COUNTIF($XAA$2:XAA35,XAA35)-1,"")</f>
        <v>34</v>
      </c>
      <c r="XAC35" s="11" t="str">
        <f t="shared" si="1"/>
        <v>ainteligenciaartificialestacomecandoaserutilemquasetodosossetoresdesdecallcentersefinancasatepesquisademedicamentosnoentantoorecursotambemeprejudicadoporexcessodeentusiasmojargoesdubiosetecnologiaesotericadificultandoaidentificacaodasempresasmaisinteressantesnessaareafonte:ohnsmanacaikia50:forbeselegeasempresasmaispromissoraseminteligenciaartificialforbes2020disponivelem:&lt;https://forbescombr/listas/2020/07/ia50forbeselegeasempresasmaispromissoraseminteligenciaartificial/&gt;acessoem:29set2020levandoemconsideracaootrechoacimaeoconteudosobreinteligenciaartificialenegociosanaliseasassercoesaseguirearelacaoentreelasisendoumacienciauniversalcomdiversasfuncionalidadeseaplicacoesemquasetodotipodeindustriaainteligenciaartificialimpactarasignificativamenteosnegociosporque:iiaomesmotempoqueainteligenciaartificialiraincentivaraautomacaodeprocessossubstituindotrabalhadoreselacriaraoportunidadesdeinovacaoenegocioaseguirassinaleaalternativacorreta:</v>
      </c>
    </row>
    <row r="36" spans="3:6 16251:16253" x14ac:dyDescent="0.25">
      <c r="C36" s="17">
        <f t="shared" si="2"/>
        <v>35</v>
      </c>
      <c r="D36" t="s">
        <v>103</v>
      </c>
      <c r="E36" t="s">
        <v>29</v>
      </c>
      <c r="F36" s="9"/>
      <c r="XAA36">
        <f t="shared" si="0"/>
        <v>1</v>
      </c>
      <c r="XAB36">
        <f>IF(ISNUMBER(XAA36),_xlfn.RANK.EQ(XAA36,$XAA$2:$XAA$254,0)+COUNTIF($XAA$2:XAA36,XAA36)-1,"")</f>
        <v>35</v>
      </c>
      <c r="XAC36" s="11" t="str">
        <f t="shared" si="1"/>
        <v>ainteligenciaartificialestatransformandonossarelacaocomatecnologiaeeabasedarevolucaodigitalemcursoapartirdaconfluenciadetecnologiasdomundodigitalinternetdascoisas/iotblockchainplataformasdigitaisdomundofisicoveiculosautonomosimpressao3droboticaavancadanovosmateriaisedomundobiologicomanipulacaogeneticafonte:kaufmandainteligenciaartificialirasuplantarainteligenciahumana?barueri:estacaodasletrasecoreseditora2019considerandoessasinformacoeseoconteudoestudadosobreconceitosdeinteligenciaartificialanaliseasafirmativasaseguir:iaplicativosqueusamosemnossodiaadiacomonavegadoresex:wazeegooglemapspossueminteligenciaartificialiiainteligenciaeumacaracteristicaquedefineoserhumanoporissonoschamamosdehomosapiensquesignificahomemsabioiiiocampocientificodainteligenciaartificialsurgiunosanos2000impulsionadopelacriacaodesmartphonesivoprimeiroworkshopsobreiatrouxediversosavancosparaestecampocientificocomoainvencaodoreconhecimentodevozestacorretoapenasoqueseafirmaem:</v>
      </c>
    </row>
    <row r="37" spans="3:6 16251:16253" x14ac:dyDescent="0.25">
      <c r="C37" s="17">
        <f t="shared" si="2"/>
        <v>36</v>
      </c>
      <c r="D37" t="s">
        <v>104</v>
      </c>
      <c r="E37" t="s">
        <v>105</v>
      </c>
      <c r="F37" s="9"/>
      <c r="XAA37">
        <f t="shared" si="0"/>
        <v>1</v>
      </c>
      <c r="XAB37">
        <f>IF(ISNUMBER(XAA37),_xlfn.RANK.EQ(XAA37,$XAA$2:$XAA$254,0)+COUNTIF($XAA$2:XAA37,XAA37)-1,"")</f>
        <v>36</v>
      </c>
      <c r="XAC37" s="11" t="str">
        <f t="shared" si="1"/>
        <v>aioteutilizadaparadesignaraconectividadeentrevariosobjetosdomundofisicosensiveisainternetporexemploeletrodomesticoscarroseaindamaquinaseequipamentosindustriaisatravesdesensores[]aiotaliadaatecnologiadobigdatatransformaosetorindustrialeseusprocessosdecisoriostendograndeimportanciaparaindustria40sendoesteumnovoparadigmadeprocessosdeproducaofonte:colombojfdeluccafilhojinternetdascoisasioteindustria40:revolucionandoomundodosnegociosrevistainterfacetecnologicav15n22018p72considerandoessasinformacoeseoconteudoestudadosobreasrevolucoesindustriaisanaliseasafirmativasaseguir:iaiotcomoumconceitohorizontalrefereseaoconceitobasicodeiotesuasaplicabilidadesgeraisemaiscomunsiiquandofalamossobreiotverticalnosreferimosaumaaplicabilidadeespecificadessatecnologiacomoaiotindustrialouaiotcomercialiiiaaplicacaodaiotaocontextoindustrialtrazoportunidadesparainovaregerarvalorapartirdeprocessosfabrisivademandaindividualizadadaindustria40refereseapossibilidadedamaquinadeseconectardiretamenteaoindividuoquenocasoeoconsumidorestacorretoapenasoqueseafirmaem:</v>
      </c>
    </row>
    <row r="38" spans="3:6 16251:16253" x14ac:dyDescent="0.25">
      <c r="C38" s="17">
        <f t="shared" si="2"/>
        <v>37</v>
      </c>
      <c r="D38" t="s">
        <v>106</v>
      </c>
      <c r="E38" t="s">
        <v>107</v>
      </c>
      <c r="F38" s="9"/>
      <c r="XAA38">
        <f t="shared" si="0"/>
        <v>1</v>
      </c>
      <c r="XAB38">
        <f>IF(ISNUMBER(XAA38),_xlfn.RANK.EQ(XAA38,$XAA$2:$XAA$254,0)+COUNTIF($XAA$2:XAA38,XAA38)-1,"")</f>
        <v>37</v>
      </c>
      <c r="XAC38" s="11" t="str">
        <f t="shared" si="1"/>
        <v>amaquinanaotemcompreensaorealdoqueestafazendo:umsistemaroboticocriadoparavencerumapartidacontraumcampeaodexadrezestaseguindoumaconfiguracaoespecificacomregrasbemclarasagorasabemosqueatecnologiadaconstituicaodasmaquinasestasedesenvolvendoapassosmuitoaceleradoscomaevolucaobiologicaetecnologicacomissomaquinasbiologicaspoderaonoslevaranovostiposdeproblemasfonte:tanjitpesquisadoresdebatemeticaparaacriacaodemaquinasinteligentesrevistagalileu2017disponivelem:&lt;https://revistagalileuglobocom/revista/noticia/2017/06/pesquisadoresdebatemeticaparacriacaodemaquinasinteligenteshtml&gt;acessoem:02ago2020considerandoessasinformacoeseoconteudoestudadosobrecomputacaoubiquaeeticaestacorretoafirmarque:</v>
      </c>
    </row>
    <row r="39" spans="3:6 16251:16253" x14ac:dyDescent="0.25">
      <c r="C39" s="17">
        <f t="shared" si="2"/>
        <v>38</v>
      </c>
      <c r="D39" t="s">
        <v>108</v>
      </c>
      <c r="E39" t="s">
        <v>109</v>
      </c>
      <c r="F39" s="9"/>
      <c r="XAA39">
        <f t="shared" si="0"/>
        <v>1</v>
      </c>
      <c r="XAB39">
        <f>IF(ISNUMBER(XAA39),_xlfn.RANK.EQ(XAA39,$XAA$2:$XAA$254,0)+COUNTIF($XAA$2:XAA39,XAA39)-1,"")</f>
        <v>38</v>
      </c>
      <c r="XAC39" s="11" t="str">
        <f t="shared" si="1"/>
        <v>aorigemdossmartphonesestanaconvergenciadeduastecnologiasdistintas:adostelefonescelularesexistentedesdeadecadade1980eadospdaspersonaldigitalassistantsbastantepopularesduranteadecadade1990enquantoostelefonescelularestraziamcomunicacaocommobilidadepdaseramassistentesdeusopessoaloucorporativoparaarmazenamentodeinformacoesfonte:queirozlriphoneandroideaconsolidacaodaculturadosmartphone:opapeldoiphoneedosistemaoperacionalandroidcomocatalisadoresdaconsolidacaonomercadodesmartphonesemescalaglobalrtecnolsoc2018v14n30p4770considerandoessasinformacoeseoconteudoestudadosobresmartphonesestacorretoapenasoqueseafirmaem:</v>
      </c>
    </row>
    <row r="40" spans="3:6 16251:16253" x14ac:dyDescent="0.25">
      <c r="C40" s="17">
        <f t="shared" si="2"/>
        <v>39</v>
      </c>
      <c r="D40" t="s">
        <v>110</v>
      </c>
      <c r="E40" t="s">
        <v>111</v>
      </c>
      <c r="F40" s="9"/>
      <c r="XAA40">
        <f t="shared" si="0"/>
        <v>1</v>
      </c>
      <c r="XAB40">
        <f>IF(ISNUMBER(XAA40),_xlfn.RANK.EQ(XAA40,$XAA$2:$XAA$254,0)+COUNTIF($XAA$2:XAA40,XAA40)-1,"")</f>
        <v>39</v>
      </c>
      <c r="XAC40" s="11" t="str">
        <f t="shared" si="1"/>
        <v>arevolucaotecnologicanoentantonaochegouaofimcomdispositivoscomosmartphonesnomundoquesetransformacomainternetdascoisaseacapacidadeparaprocessarumvolumegigantescodedadoslimitarseaumatelajanaoemaissuficientesaoinovacoesquepermitiramosurgimentodatecnologiavestivel[]fonte:g1inovacaojuntoaocorpo:conheca5aplicacoesdatecnologiavestivelglobocom2020disponivelem:&lt;https://g1globocom/especialpublicitario/inovacao/noticia/2020/04/30/inovacaojuntoaocorpoconheca5aplicacoesdatecnologiavestivelghtml&gt;acessoem:01ago2020considerandoessasinformacoeseoconteudoestudadosobretecnologiasvestiveisestacorretoafirmarque:</v>
      </c>
    </row>
    <row r="41" spans="3:6 16251:16253" x14ac:dyDescent="0.25">
      <c r="C41" s="17">
        <f t="shared" si="2"/>
        <v>40</v>
      </c>
      <c r="D41" t="s">
        <v>112</v>
      </c>
      <c r="E41" t="s">
        <v>113</v>
      </c>
      <c r="F41" s="9"/>
      <c r="XAA41">
        <f t="shared" si="0"/>
        <v>1</v>
      </c>
      <c r="XAB41">
        <f>IF(ISNUMBER(XAA41),_xlfn.RANK.EQ(XAA41,$XAA$2:$XAA$254,0)+COUNTIF($XAA$2:XAA41,XAA41)-1,"")</f>
        <v>40</v>
      </c>
      <c r="XAC41" s="11" t="str">
        <f t="shared" si="1"/>
        <v>atransformacaodigitaltdeumprocessoqueconduzaorganizacaoaimplementarumaestrategiadigitaldenegociosealgoquevemocorrendohatemposmasqueganhousentidodeemergencianosultimosanosdevidoaovolumeeavelocidadedeinovacoessuportadasportecnologiasdigitaisfonte:sebraetransformacaodigitalsebraedisponivelem:&lt;https://wwwsebraecombr/sites/portalsebrae/canais_adicionais/conheca_transformacao_digital&gt;acessoem:12out2020considerandoessasinformacoeseoconteudoestudadosobrecasosdesucessodeempresasdigitaisestacorretoafirmarque:</v>
      </c>
    </row>
    <row r="42" spans="3:6 16251:16253" x14ac:dyDescent="0.25">
      <c r="C42" s="17">
        <f t="shared" si="2"/>
        <v>41</v>
      </c>
      <c r="D42" t="s">
        <v>114</v>
      </c>
      <c r="E42" t="s">
        <v>115</v>
      </c>
      <c r="F42" s="9"/>
      <c r="XAA42">
        <f t="shared" si="0"/>
        <v>1</v>
      </c>
      <c r="XAB42">
        <f>IF(ISNUMBER(XAA42),_xlfn.RANK.EQ(XAA42,$XAA$2:$XAA$254,0)+COUNTIF($XAA$2:XAA42,XAA42)-1,"")</f>
        <v>41</v>
      </c>
      <c r="XAC42" s="11" t="str">
        <f t="shared" si="1"/>
        <v>acabamosnosacostumandoaofatodequecompartilharomesmoespacofisiconaosignificamaiscompartilhardamesmaexperienciaondequerqueestejamoslevamosconoscoopcoesmuitomaisinteressantesdoqueolugareomomentoquevivemos:amigosfamiliaresnoticiasimagensmodismostrabalhoelazercabemnapalmadamaofonte:chatfieldtcomolidarcomanossahiperconectividade?bbcbrasil2015disponivelem:&lt;https://wwwbbccom/portuguese/noticias/2015/05/150513_vert_fut_overconectados_ml&gt;acessoem:11out2020considerandoessasinformacoeseoconteudoestudadosobrehiperconectividadeanaliseas4dimensoesqueseraoimpactadasporessatendenciadisponiveisaseguireasassocieasuasrespectivascaracteristicas1pessoas2negocios3comunidades4sensoressaoimpactadosasporquepodemseconectaraseusparceirosnabuscaporgerarcadavezmaisvalorsaoimpactadosasporqueempresaspodempassaraofereceraelesasprodutospersonalizadossaoimpactadosasporquesaocentraisparaaevolucaodahiperconectividadesaoimpactadosasporquehanovasoportunidadesdeconexaoentreseusparticipantesagoraassinaleaalternativaqueapresentaasequenciacorreta:</v>
      </c>
    </row>
    <row r="43" spans="3:6 16251:16253" x14ac:dyDescent="0.25">
      <c r="C43" s="17">
        <f t="shared" si="2"/>
        <v>42</v>
      </c>
      <c r="D43" t="s">
        <v>116</v>
      </c>
      <c r="E43" t="s">
        <v>28</v>
      </c>
      <c r="F43" s="9"/>
      <c r="XAA43">
        <f t="shared" si="0"/>
        <v>1</v>
      </c>
      <c r="XAB43">
        <f>IF(ISNUMBER(XAA43),_xlfn.RANK.EQ(XAA43,$XAA$2:$XAA$254,0)+COUNTIF($XAA$2:XAA43,XAA43)-1,"")</f>
        <v>42</v>
      </c>
      <c r="XAC43" s="11" t="str">
        <f t="shared" si="1"/>
        <v>aindacomopartedoredesenhodefuncoeseestrategiaderecuperacaoemfuncaodacovid19apesquisamostraque41%dosexecutivosestaoinvestindoemesforcosdetransformacaodigitalenquanto31%estaofocadosemecommercefonte:g1pandemialevaempresasaredesenharfuncoesepriorizartransformacaodigitaldizpesquisaglobocom2020disponivelem:&lt;https://g1globocom/economia/concursoseemprego/noticia/2020/10/01/pandemialevaempresasaredesenharfuncoesepriorizartransformacaodigitaldizpesquisaghtml&gt;acessoem:12out2020considerandoessasinformacoeseoconteudoestudadosobrecasosdesucessodeempresasdigitaisanaliseasafirmativasaseguirimudancasemcomportamentoatitudeseexpectativasdosconsumidoresetrabalhadoresincentivamatransformacaodigital iialtasbarreirasdeentradasaoumimpeditivoparaqueempresasdecidampassarpelatransformacaodigitaliiiaameacadosurgimentosurpresadeumcompetidorcomummodelodenegocioinovadorincentivaatransformacaodigitalivempresasplugandplaysaoempresastecnologicasespecializadasnodesenvolvimentodejogosonlineestacorretoapenasoqueseafirmaem:</v>
      </c>
    </row>
    <row r="44" spans="3:6 16251:16253" x14ac:dyDescent="0.25">
      <c r="C44" s="17">
        <f t="shared" si="2"/>
        <v>43</v>
      </c>
      <c r="D44" t="s">
        <v>117</v>
      </c>
      <c r="E44" t="s">
        <v>105</v>
      </c>
      <c r="F44" s="9"/>
      <c r="XAA44">
        <f t="shared" si="0"/>
        <v>1</v>
      </c>
      <c r="XAB44">
        <f>IF(ISNUMBER(XAA44),_xlfn.RANK.EQ(XAA44,$XAA$2:$XAA$254,0)+COUNTIF($XAA$2:XAA44,XAA44)-1,"")</f>
        <v>43</v>
      </c>
      <c r="XAC44" s="11" t="str">
        <f t="shared" si="1"/>
        <v>asassistentesdevozsaoumagrandetendenciadatecnologiaenaoserestringemaoscelulares:aparelhoscomoaltofalantesinteligentescomogooglehomeamazonechoeapplehomepodtambemasutilizameatendenciaequevocecontroletudoporvozdaquiaunsanosfonte:padraommulheresdigitaisporquetodasasassistentesvirtuaistemvozesfemininas?uolnoticiasdisponivelem:&lt;https://wwwuol/noticias/especiais/assistentesdevozxfeminismohtm#tematico1&gt;acessoem:11out2020considerandoessasinformacoeseoconteudoestudadosobreassistentesdigitaisanaliseasafirmativasaseguiriassistentesdigitaispodemserummercadolucrativonaosopelavendadodispositivomasporquepessoaspassaraomuitotempoconectadasaelesiiempresasnofuturodeveraopassaraconsiderarainfluenciadosassistentesdigitaisnasescolhasdosindividuosiiiaconvenienciapromovidapelosassistentesdigitaiseumagrandevantagempoisencurtamotempodebuscaecompradeitensnogeralivaoescolheromodelodeassistentedigitalindividuosdevemlevaremconsideracaoqueelesteraodeseadaptaraoseufuncionamentoestacorretoapenasoqueseafirmaem:</v>
      </c>
    </row>
    <row r="45" spans="3:6 16251:16253" x14ac:dyDescent="0.25">
      <c r="C45" s="17">
        <f t="shared" si="2"/>
        <v>44</v>
      </c>
      <c r="D45" t="s">
        <v>118</v>
      </c>
      <c r="E45" t="s">
        <v>31</v>
      </c>
      <c r="F45" s="9"/>
      <c r="XAA45">
        <f t="shared" si="0"/>
        <v>1</v>
      </c>
      <c r="XAB45">
        <f>IF(ISNUMBER(XAA45),_xlfn.RANK.EQ(XAA45,$XAA$2:$XAA$254,0)+COUNTIF($XAA$2:XAA45,XAA45)-1,"")</f>
        <v>44</v>
      </c>
      <c r="XAC45" s="11" t="str">
        <f t="shared" si="1"/>
        <v>asplataformasdigitaisestaocadavezmaispresentesnocotidianodapopulacaofazendocomqueomercadodeaplicativoscrescasempararanoaposanoeasexpectativasapontamqueosetorchegaraamovimentarcercadeus$63trilhoesdedolaresemtodoomundoate2021fonte:santosabrasilsegundopaisondeomercadodeaplicativosmaiscresceterra2020disponivelem:&lt;https://wwwterracombr/noticias/dino/brasilsegundopaisondeomercadodeaplicativosmaiscresce1fd9d38aa995ad8ca1243f6c58080f79u2ee8tfjhtml&gt;acessoem:01ago2020considerandoessasinformacoeseoconteudoestudadosobreaplicativosmoveisanaliseasassercoesaseguirearelacaopropostaentreelas:inosultimosanosocorreuapopularizacaodetecnologiasmoveisemespecialadesmartphonesquepossueminterfacecomusuarioamigaveledemocraticaporque: iinesseperiodoocorreuamelhoriadaconectividadesemfiocomamaiorofertadeinternetconjugadaatelefoniamovelemaispontosdeacessoaredeswifipublicasaseguirassinaleaalternativacorreta:</v>
      </c>
    </row>
    <row r="46" spans="3:6 16251:16253" x14ac:dyDescent="0.25">
      <c r="C46" s="17">
        <f t="shared" si="2"/>
        <v>45</v>
      </c>
      <c r="D46" t="s">
        <v>119</v>
      </c>
      <c r="E46" t="s">
        <v>47</v>
      </c>
      <c r="F46" s="9"/>
      <c r="XAA46">
        <f t="shared" si="0"/>
        <v>1</v>
      </c>
      <c r="XAB46">
        <f>IF(ISNUMBER(XAA46),_xlfn.RANK.EQ(XAA46,$XAA$2:$XAA$254,0)+COUNTIF($XAA$2:XAA46,XAA46)-1,"")</f>
        <v>45</v>
      </c>
      <c r="XAC46" s="11" t="str">
        <f t="shared" si="1"/>
        <v>astecnologiasdeinformacaomoveissemfioeubiquasfiguramentreosprincipaistemasatualmentediscutidosnaareadesistemasdeinformacaotantonomeioempresarialquantonomeioacademicoacrescenteaplicacaodessastecnologiasfazemergirumaseriedequestoesrelativasasuacriacaoescolhaadaptacaoeconsequenciasdeutilizacaofonte:saccolazreinhardntecnologiasdeinformacaomoveissemfioeubiquas:definicoesestadodaarteeoportunidadesdepesquisarevistadeadministracaocontemporaneav11n4p1751982007p175considerandootrechoacimaeoconteudoestudadosobrecomputacaoubiquaepervasivaanaliseasafirmativasaseguireassinalevparaasverdadeirasefparaasfalsas:i acomputacaomovelpossibilitaqueindividuosestejamconectadoseacessemfuncionalidadescomputacionaisindependentedalocalidadeedeslocamentoii apervasividadedacomputacaorefereseamaneiracomoatecnologiasefundiucomnossocotidianoiii acomunicacaoubiquapodeserentendidacomoaintersecaoentrecomputacaomovelecomputacaopervasivaiv dispositivoseletronicospassamdesapercebidoseatuammuitasvezessemaintervencaohumanaoqueeumacaracteristicadacomputacaomovel agoraassinaleaalternativaqueapresentaasequenciacorreta:</v>
      </c>
    </row>
    <row r="47" spans="3:6 16251:16253" x14ac:dyDescent="0.25">
      <c r="C47" s="17">
        <f t="shared" si="2"/>
        <v>46</v>
      </c>
      <c r="D47" t="s">
        <v>120</v>
      </c>
      <c r="E47" t="s">
        <v>36</v>
      </c>
      <c r="F47" s="9"/>
      <c r="XAA47">
        <f t="shared" si="0"/>
        <v>1</v>
      </c>
      <c r="XAB47">
        <f>IF(ISNUMBER(XAA47),_xlfn.RANK.EQ(XAA47,$XAA$2:$XAA$254,0)+COUNTIF($XAA$2:XAA47,XAA47)-1,"")</f>
        <v>46</v>
      </c>
      <c r="XAC47" s="11" t="str">
        <f t="shared" si="1"/>
        <v>atravesdaserasoserhumanocrioudiversasferramentasquefacilitassemocalculodequantidadesnosprimordiosusavamseosdedosdasmaosparaefetuaressescalculosmascomotempooutrasferramentasforamcriadasparaserviraessepropositofonte:crepaldiccostalvescobalaaahistoriadacomputacao:dasmaquinasdecalcularaoscomputadoresquanticosinstitutodefisicadauniversidadedesaopauloifusp2017disponivelem:&lt;http://fapifuspbr/~crepaldi/archive/ecf_finalpdf&gt;acessoem:01jul2020considerandoessasinformacoeseoconteudoestudadosobreohistoricodaevolucaotecnologicaanaliseasassercoesaseguirearelacaoentreelas:ioabacoeconsideradooprimeiroinstrumentocomoobjetivodefazercalculoselefoiinventadohamilharesdeanospelopovodamesopotamiaporque:iicomoabacoopovosumeriofamosoporseusbarcosconseguiriacalcularmelhorasrotasfluviaisconsiderandodistanciasecorrentesaseguirassinaleaalternativacorreta:</v>
      </c>
    </row>
    <row r="48" spans="3:6 16251:16253" x14ac:dyDescent="0.25">
      <c r="C48" s="17">
        <f t="shared" si="2"/>
        <v>47</v>
      </c>
      <c r="D48" t="s">
        <v>121</v>
      </c>
      <c r="E48" t="s">
        <v>34</v>
      </c>
      <c r="F48" s="9"/>
      <c r="XAA48">
        <f t="shared" si="0"/>
        <v>1</v>
      </c>
      <c r="XAB48">
        <f>IF(ISNUMBER(XAA48),_xlfn.RANK.EQ(XAA48,$XAA$2:$XAA$254,0)+COUNTIF($XAA$2:XAA48,XAA48)-1,"")</f>
        <v>47</v>
      </c>
      <c r="XAC48" s="11" t="str">
        <f t="shared" si="1"/>
        <v>atualmenteviveseumatransformacaodigitalnaindustriaqueestasendoreferenciadacomoumanovarevolucaoeconhecidacomoaquartarevolucaoindustrialessanovarevolucaofoiprecedidaportresanterioressendoqueaprimeirafoibaseadanocarvaocomofontedeenergiaimpulsionandoassimasmaquinasavaporetransformandootrabalhoartesanalemautomatizadoposteriormentehouveasegundarevolucaoindustrialbaseadaemconceitosdeeletricidadeparaatingiraproducaoemmassajaaterceirarevolucaoindustrialbaseouseemsistemaseletronicosecomputacionais[]fonte:azevedomtdtransformacaodigitalnaindustria:industria40earededeaguainteligentenobrasil2017tesedoutoradouniversidadedesaopaulosaopaulo2017p8 considerandoessasinformacoeseoconteudoestudadosobreindustria40analiseasafirmativasaseguir:iumarevolucaoindustrialecaracterizadapormudancassignificativasqueimpactamnamaneiradeproducaoeprodutividademastambemnasociedadeiiotermoindustria40surgiupelatransformacaoqueatecnologiadeinternetmovel4gexerceusobreasociedadequevivemosiiiotermoindustria40foicitadopelaprimeiraveznoiniciodosanos2000emumaconferenciadaonusobreofuturodaproducaoeseusimpactossociaisivanovarevolucaoindustrialqueestamosvivendopossuicomoumadesuasprincipaiscaracteristicasaintegracaodaiotaosistemadeproducaoestacorretoapenasoqueseafirmaem:</v>
      </c>
    </row>
    <row r="49" spans="3:6 16251:16253" x14ac:dyDescent="0.25">
      <c r="C49" s="17">
        <f t="shared" si="2"/>
        <v>48</v>
      </c>
      <c r="D49" t="s">
        <v>122</v>
      </c>
      <c r="E49" t="s">
        <v>123</v>
      </c>
      <c r="F49" s="9"/>
      <c r="XAA49">
        <f t="shared" si="0"/>
        <v>1</v>
      </c>
      <c r="XAB49">
        <f>IF(ISNUMBER(XAA49),_xlfn.RANK.EQ(XAA49,$XAA$2:$XAA$254,0)+COUNTIF($XAA$2:XAA49,XAA49)-1,"")</f>
        <v>48</v>
      </c>
      <c r="XAC49" s="11" t="str">
        <f t="shared" si="1"/>
        <v>atualmenteenfrentamosumagrandediversidadededesafiosfascinantesentreelesomaisintensoeimportanteeoentendimentoeamodelagemdanovarevolucaotecnologicaaqualimplicanadamenosqueatransformacaodetodaahumanidadeestamosnoiniciodeumarevolucaoquealteraraprofundamenteamaneiracomovivemostrabalhamosenosrelacionamosemsuaescalaescopoecomplexidadeaquartarevolucaoindustrialealgoqueconsiderodiferentedetudoaquiloquejafoiexperimentadopelahumanidadefonte:schwabkaquartarevolucaoindustrialsaopaulo:edipro2019p14considerandootrechoacimaeoconteudoestudadosobreasrevolucoesindustriaisanaliseasafirmativasaseguireassinalevparaasverdadeirasefparaasfalsas:isensoresecomunicacaomaquinaamaquinasaotecnologiasquesurgiramjuntoaindustria40iiousodebigdataintegradoaioteacomputacaoemnuvempossibilitaacoletaeoprocessamentorapidodeinformacoesdaproducaoiiicomaiotcadavezmaiscoisasseconectamumasasoutrasnoentantoavisaofuturisticadequetudoestaraconectadoeumautopiaivoconceitodeprodutosinteligentesrefereseapossibilidadedeseidentificarelocalizarosprodutosemtodasasfasesdeproducaoelogisticaagoraassinaleaalternativaqueapresentaasequenciacorreta:</v>
      </c>
    </row>
    <row r="50" spans="3:6 16251:16253" x14ac:dyDescent="0.25">
      <c r="C50" s="17">
        <f t="shared" si="2"/>
        <v>49</v>
      </c>
      <c r="D50" t="s">
        <v>124</v>
      </c>
      <c r="E50" t="s">
        <v>125</v>
      </c>
      <c r="F50" s="9"/>
      <c r="XAA50">
        <f t="shared" si="0"/>
        <v>1</v>
      </c>
      <c r="XAB50">
        <f>IF(ISNUMBER(XAA50),_xlfn.RANK.EQ(XAA50,$XAA$2:$XAA$254,0)+COUNTIF($XAA$2:XAA50,XAA50)-1,"")</f>
        <v>49</v>
      </c>
      <c r="XAC50" s="11" t="str">
        <f t="shared" si="1"/>
        <v>atualmenteestarconectadodigitalmenteeumacondicaofundamentalparasesentirinseridoemummundocadavezmaisinterativoemqueainformacaoeumaimportantemoedadepoderetrocaessarealidadesefazpresentenaosonoambitoorganizacionalmastambemnaesferaprivadadosindividuosfonte:borgesapjoialaexecutivosesmartphones:umarelacaoambiguaeparadoxalorganizacoes&amp;sociedadev20p5862013considerandoessasinformacoeseoconteudoestudadosobreoimpactonocotidianoeoimpactonegativodossmartphonesestacorretoapenasoqueseafirmaem:</v>
      </c>
    </row>
    <row r="51" spans="3:6 16251:16253" x14ac:dyDescent="0.25">
      <c r="C51" s="17">
        <f t="shared" si="2"/>
        <v>50</v>
      </c>
      <c r="D51" t="s">
        <v>126</v>
      </c>
      <c r="E51" t="s">
        <v>127</v>
      </c>
      <c r="F51" s="9"/>
      <c r="XAA51">
        <f t="shared" si="0"/>
        <v>1</v>
      </c>
      <c r="XAB51">
        <f>IF(ISNUMBER(XAA51),_xlfn.RANK.EQ(XAA51,$XAA$2:$XAA$254,0)+COUNTIF($XAA$2:XAA51,XAA51)-1,"")</f>
        <v>50</v>
      </c>
      <c r="XAC51" s="11" t="str">
        <f t="shared" si="1"/>
        <v>bigdatainternetdascoisasiotautomacaodigitalcomsensoresparacontroledeprocessosinteligenciaartificialiasistemasintegradosdeengenhariaparadesenvolvimentoemanufaturadeprodutosessassaoalgumasdasnovastecnologiasdigitaisqueestaopresentesaindaqueisoladasemsetedecadadezgrandesempresasindustriaisnobrasilsegundolevantamentodaconfederacaonacionaldaindustriacnimasaindahamuitoaserfeitoparaqueasempresasnacionaistiremproveitodousodessesrecursoseconsigamcompetiremummercadoglobalfonte:cnibrasilseinserenaindustria40maseprecisoaceleraropassoepocanegocios2019disponivelem:&lt;https://epocaglobocom/economia/brasilseinserenaindustria40masprecisoacelerarpasso24008365&gt;acessoem:29set2020considerandoessasinformacoeseoconteudoestudadosobreasprincipaiscaracteristicasdaindustria40estacorretoafirmarque:</v>
      </c>
    </row>
    <row r="52" spans="3:6 16251:16253" x14ac:dyDescent="0.25">
      <c r="C52" s="17">
        <f t="shared" si="2"/>
        <v>51</v>
      </c>
      <c r="D52" t="s">
        <v>128</v>
      </c>
      <c r="E52" t="s">
        <v>129</v>
      </c>
      <c r="F52" s="9"/>
      <c r="XAA52">
        <f t="shared" si="0"/>
        <v>1</v>
      </c>
      <c r="XAB52">
        <f>IF(ISNUMBER(XAA52),_xlfn.RANK.EQ(XAA52,$XAA$2:$XAA$254,0)+COUNTIF($XAA$2:XAA52,XAA52)-1,"")</f>
        <v>51</v>
      </c>
      <c r="XAC52" s="11" t="str">
        <f t="shared" si="1"/>
        <v>comercioeletronicoeaquelecomerciorealizadopormeiodainternetesteeoconceitomaissimpleseamploquesepodeformularnesseconceitoestaoincluidosdiversostiposderelacoescomerciaissejaentreempresaseconsumidoresochamadob2cbunissestoconsumerempresaseempresasob2bbunissestobunissesconsumidoreconsumidoroc2cconsumertoconsumerentreoutrosfonte:servicobrasileirodeapoioasmicroepequenasempresassebraeaspectoslegaisdoecommerce2014brasiliadfdisponivelem&lt;https://bibliotecassebraecombr/chronus/arquivos_chronus/bds/bdsnsf/1fb2b554ec81cb7a7da2eeab6ecef4c3/$file/5051pdf&gt;acesso05deabrilde2019considerandoessasinformacoeseoconteudoestudadosobreossistemasdeecommerceecorretoafirmarque:</v>
      </c>
    </row>
    <row r="53" spans="3:6 16251:16253" x14ac:dyDescent="0.25">
      <c r="C53" s="17">
        <f t="shared" si="2"/>
        <v>52</v>
      </c>
      <c r="D53" t="s">
        <v>130</v>
      </c>
      <c r="E53" t="s">
        <v>131</v>
      </c>
      <c r="F53" s="9"/>
      <c r="XAA53">
        <f t="shared" si="0"/>
        <v>1</v>
      </c>
      <c r="XAB53">
        <f>IF(ISNUMBER(XAA53),_xlfn.RANK.EQ(XAA53,$XAA$2:$XAA$254,0)+COUNTIF($XAA$2:XAA53,XAA53)-1,"")</f>
        <v>52</v>
      </c>
      <c r="XAC53" s="11" t="str">
        <f t="shared" si="1"/>
        <v>consideradoumcomputadordebolsoecomacessoamilhoesdeaplicativossuaprincipalcaracteristicaeaquebradalimitacaodamobilidadeacompanhandooseuusuario24horaspordiaemqualquerlugaressaqualidadeefundamentalparaauxiliaraassistenciaemsaudeumavezqueessesprofissionaisdeslocamseconstantementedentrodasinstituicoesemquetrabalhamfonte:tibescmsdiasjdzemmascarenhasshaplicativosmoveisdesenvolvidosparaaareadasaudenobrasil:revisaointegrativadaliteraturarevistamineiradeenfermagemv18n2p4712014considerandootrechoapresentadoeoconteudoestudadosobreoimpactodatecnologiamovelanaliseasafirmativasaseguireassinalevparaasverdadeirasefparaasfalsas:i apesardapopularizacaodossmartphonesedoaumentodaofertadecursooensinoadistancianobrasiltemcaidomostrandoopreconceitodapopulacaocomessemetododeensinoii especialistasapontamcomovantagensdoensinocomapoiodetecnologiasmoveisafacilidadedoensinoemdiferentessituacoeseatransferenciadoaprendizadodeumlugarparaoutroiii comatecnologiaderealidadeaumentadajogoseducacionaisdigitaismoveispossibilitamamisturaentreovirtualearealidademomentaneadoalunotornandooaprendizadomaismotivadorengajadoreimersivoiv smartphonespodemauxiliarprofissionaisdasaudedediversasmaneirasporexemplopossibilitandoatelemedicinaeocalculodedosagemeformulacaodemedicamentosnomomentodoatendimentov ousodetecnologiasmoveispelospropriospacientesnabuscadeinformacoesediagnosticoseconsideradoprejudicialmesmoemcasosdesintomaslevesagoraassinaleaalternativaqueapresentaasequenciacorreta:</v>
      </c>
    </row>
    <row r="54" spans="3:6 16251:16253" x14ac:dyDescent="0.25">
      <c r="C54" s="17">
        <f t="shared" si="2"/>
        <v>53</v>
      </c>
      <c r="D54" t="s">
        <v>132</v>
      </c>
      <c r="E54" t="s">
        <v>133</v>
      </c>
      <c r="F54" s="9"/>
      <c r="XAA54">
        <f t="shared" si="0"/>
        <v>1</v>
      </c>
      <c r="XAB54">
        <f>IF(ISNUMBER(XAA54),_xlfn.RANK.EQ(XAA54,$XAA$2:$XAA$254,0)+COUNTIF($XAA$2:XAA54,XAA54)-1,"")</f>
        <v>53</v>
      </c>
      <c r="XAC54" s="11" t="str">
        <f t="shared" si="1"/>
        <v>edignoderegistrocomootopicodacomunicacaomovelvemcrescendoemcomplexidadenomomentoemquepenetraemdiferentesculturaseclassessociaisempaisescomoobrasilissoprovocaumgrandeimpactoemdiferentescamadaseconomicasfonte:pellandaeccomunicacaomovelnocontextobrasileiroin:lemosajosgrilbergfcomunicacaoemobilidadesalvador:edufba2009p11considerandoessasinformacoeseoconteudoestudadosobreoimpactodatecnologiamovelanaliseasafirmativasaseguir:iempresasjaestabelecidasnomercadoforamforcadasaseadaptaremtantonaofertaparaosconsumidoresquepossuemnovasexigenciasquantonamaneiraqueorganizamoambientedetrabalhoiiapesardeseusconsumidorespassaremausarsmartphonesparaouvirmusicaelergravadoraseeditorasmantiveramsuasestrategiasdenegociopoisomercadodenostalgiaaindaconsomecdselivrosiiicomoavancodainfraestruturadigitalasempresasgrandesexistentessaoameacadaseaeconomiasofrehaestudosquecomprovamarelacaonegativaentreaumentodapenetracaodabandalargaeaumentodopibivapopularizacaodainternetedatecnologiamovelimpulsionoupequenosnegociosanteselesnaoconseguiamespaconaprateleiradegrandesredesmasatualmenteconseguemvenderdiretamenteparaseuconsumidorfinalvcomgrandepopularidadederedessociaisnovasmaneirasdefazerpublicidadesurgiraminfluenciadoresdigitaissaoformadoresdeopiniaoonlineepodemfuncionarcomoportavozdemarcasparaseusseguidoresestacorretoapenasoqueseafirmaem:</v>
      </c>
    </row>
    <row r="55" spans="3:6 16251:16253" x14ac:dyDescent="0.25">
      <c r="C55" s="17">
        <f t="shared" si="2"/>
        <v>54</v>
      </c>
      <c r="D55" t="s">
        <v>134</v>
      </c>
      <c r="E55" t="s">
        <v>33</v>
      </c>
      <c r="F55" s="9"/>
      <c r="XAA55">
        <f t="shared" si="0"/>
        <v>1</v>
      </c>
      <c r="XAB55">
        <f>IF(ISNUMBER(XAA55),_xlfn.RANK.EQ(XAA55,$XAA$2:$XAA$254,0)+COUNTIF($XAA$2:XAA55,XAA55)-1,"")</f>
        <v>54</v>
      </c>
      <c r="XAC55" s="11" t="str">
        <f t="shared" si="1"/>
        <v>enotavelapresencadeinteligenciaartificialaiemachinelearningmlatualmentesejaporreconhecimentodefalacomprasemlojasouautomacoeshojecadavezmaisecomumestardiantedeumasituacaoemqueumamaquinaatravesdocomportamentodousuariofezumaescolhaparaeleatravesdessatecnologiaamaquinaidentificaospadroesquepodemserutilizadosemanalisesesugestoesgerandopossibilidadesderelacionamentomaisproximaentreconsumidoreempresafonte:dinocomoamachinelearningestarevolucionandoocenariodosnegociosterracom2019disponivelem:&lt;https://wwwterracombr/noticias/dino/comoamachinelearningestarevolucionandoocenariodosnegocios3397de1473cb228e7d5579bc46190c95kqowb3myhtml&gt;acessoem:29set2020considerandoessasinformacoeseoconteudoestudadosobremachinelearninganaliseasafirmativasaseguir:iostiposdeaprendizagemdemaquinasaoaprendizadosupervisionadoaprendizadoguiadoeaprendizadonaosupervisionadoiinoaprendizadosupervisionadoosproblemasaseremresolvidossaodefinidosehaconhecimentopreviodobancodedadosiiinoaprendizadoguiadoosproblemassaodefinidosmasosbancosdedadossaodesconhecidosivnoaprendizadonaosupervisionadoosproblemasnaosaodefinidoseascaracteristicasdosdadosdobanconaosaoconhecidasestacorretoapenasoqueseafirmaem:</v>
      </c>
    </row>
    <row r="56" spans="3:6 16251:16253" x14ac:dyDescent="0.25">
      <c r="C56" s="17">
        <f t="shared" si="2"/>
        <v>55</v>
      </c>
      <c r="D56" t="s">
        <v>135</v>
      </c>
      <c r="E56" t="s">
        <v>36</v>
      </c>
      <c r="F56" s="9"/>
      <c r="XAA56">
        <f t="shared" si="0"/>
        <v>1</v>
      </c>
      <c r="XAB56">
        <f>IF(ISNUMBER(XAA56),_xlfn.RANK.EQ(XAA56,$XAA$2:$XAA$254,0)+COUNTIF($XAA$2:XAA56,XAA56)-1,"")</f>
        <v>55</v>
      </c>
      <c r="XAC56" s="11" t="str">
        <f t="shared" si="1"/>
        <v>etemosalgomais:falamosmuitomaisunscomosoutrosdoqueemqualquermomentonopassadoestoufalandodeglobalizacaoderepentediferentesvisoessobreoqueestacertoeerradoestaocolidindodeumaformaquenuncaaconteceuquantomaistecnologiacienciaepodertivermossobrequalquercoisasociedadeoambientenossaspropriasvidasmaisurgentesficamasquestoeseticasfonte:hernandesreticacresceemimportancianomundocommenosreligiaodizlucianofloridifolhadespaulo2020disponivelem:&lt;https://temasfolhauolcombr/inteligenciaartificial/entrevistas/eticacresceemimportancianomundocommenosreligiaodizlucianofloridishtml&gt;acessoem:02ago2020levandoemconsideracaootrechoacimaeoconteudoestudadosobrecomputacaoubiquaeeticaanaliseasassercoesaseguirearelacaopropostaentreelasiodilemaeticodacomputacaoubiquarelacionadoajusticadistributivarefereseapreocupacaocomaigualdadedigitaleodesenvolvimentosustentavelporque:iiaposseouanaopossededispositivospoderepresentarumagravanteparaoaumentodadesigualdadedigitaleaproducaodestesdispositivosutilizamuitaaguaoqueenocivoaomeioambienteaseguirassinaleaalternativacorreta:</v>
      </c>
    </row>
    <row r="57" spans="3:6 16251:16253" x14ac:dyDescent="0.25">
      <c r="C57" s="17">
        <f t="shared" si="2"/>
        <v>56</v>
      </c>
      <c r="D57" t="s">
        <v>136</v>
      </c>
      <c r="E57" t="s">
        <v>47</v>
      </c>
      <c r="F57" s="9"/>
      <c r="XAA57">
        <f t="shared" si="0"/>
        <v>1</v>
      </c>
      <c r="XAB57">
        <f>IF(ISNUMBER(XAA57),_xlfn.RANK.EQ(XAA57,$XAA$2:$XAA$254,0)+COUNTIF($XAA$2:XAA57,XAA57)-1,"")</f>
        <v>56</v>
      </c>
      <c r="XAC57" s="11" t="str">
        <f t="shared" si="1"/>
        <v>emumestudodapegadescobriuseque72%daspessoasjacompreendemoqueeinteligenciaartificialeapenas28%apresentamalgumtipodedesconfortocomatecnologianaoesurpresaoaumentodaprocuradeempresasequeseusesforcosestejamtaofocadosnissoemummomentodemercadoemquecadavezmaisotempoeumfatordeterminantealiadoapersonalizacaodesolucoesparacadausuarioainteligenciaartificialsetornaumaliadononegociofonte:dinocomoamachinelearningestarevolucionandoocenariodosnegociosterracom2019disponivelem:&lt;https://wwwterracombr/noticias/dino/comoamachinelearningestarevolucionandoocenariodosnegocios3397de1473cb228e7d5579bc46190c95kqowb3myhtml&gt;acessoem:29set2020considerandootrechoacimaeoconteudoestudadosobreinteligenciaartificialenegociosanaliseasafirmativasaseguireassinalevparaasverdadeirasefparaasfalsas:idataminingoumineracaodedadoseoprocessodeencontrareanalisardadosparadescobrirconhecimentoiioprimeirocontadodaspessoascomainteligenciaartificialsedageralmentecomoconsumidoresemseusaplicativosnosmartphoneiiiesperasequecomautilizacaodainteligenciaartificialsejapossiveladiminuicaodeerrosereducaodecustosemumaempresaivoempregodainteligenciaartificialtendeaeliminarascadeirasdenivelbasicoejuniornasempresasagoraassinaleaalternativaqueapresentaasequenciacorreta:</v>
      </c>
    </row>
    <row r="58" spans="3:6 16251:16253" x14ac:dyDescent="0.25">
      <c r="C58" s="17">
        <f t="shared" si="2"/>
        <v>57</v>
      </c>
      <c r="D58" t="s">
        <v>137</v>
      </c>
      <c r="E58" t="s">
        <v>28</v>
      </c>
      <c r="F58" s="9"/>
      <c r="XAA58">
        <f t="shared" si="0"/>
        <v>1</v>
      </c>
      <c r="XAB58">
        <f>IF(ISNUMBER(XAA58),_xlfn.RANK.EQ(XAA58,$XAA$2:$XAA$254,0)+COUNTIF($XAA$2:XAA58,XAA58)-1,"")</f>
        <v>57</v>
      </c>
      <c r="XAC58" s="11" t="str">
        <f t="shared" si="1"/>
        <v>emvezdetentarensinarocomputadoragoraajogadaefazeloaprendersozinhousandoaschamadasredesneuraisartificiaisnocerebroosneuroniosseconectamunsaosoutrosetrocaminformacoesseconectamunsaosoutrosetrocaminformacoesnosistemaartificialeamesmacoisasoquenolugardosneuroniosnostemosumacolecaodefuncoesmatematicasexplicagregfonte:garattonibanovaarmadogooglesuperinteressante2017disponivelem:&lt;https://superabrilcombr/tecnologia/anovaarmadogoogle/&gt;acessoem:29set2020considerandoessasinformacoeseoconteudoestudadosobremachinelearninganaliseasafirmativasaseguir:iaprenderumnovoidiomaememorizarpalavraspodeparecerdificilparaoserhumanomasparamaquinasetaosimplesquantoguardarumainformacaoemumapastaiicalculosmatematicostambemsaoarmazenadosnamemoriadocomputadordestamaneiraparaqualqueroperacaoaiapodebuscarnobancodedadosarespostaiiimachinelearningeacapacidadedeumamaquinadotadadeinteligenciaartificialemaprenderconformepassapornovasexperienciasouealimentadacommaisdadosivassimcomooserhumanoamaquinatambemestasujeitaaocansacomotorqueseassemelhaafadigaouasobrecargadetrabalhoqueocorrecomhumanosestacorretoapenasoqueseafirmaem:</v>
      </c>
    </row>
    <row r="59" spans="3:6 16251:16253" x14ac:dyDescent="0.25">
      <c r="C59" s="17">
        <f t="shared" si="2"/>
        <v>58</v>
      </c>
      <c r="D59" t="s">
        <v>138</v>
      </c>
      <c r="E59" t="s">
        <v>139</v>
      </c>
      <c r="F59" s="9"/>
      <c r="XAA59">
        <f t="shared" si="0"/>
        <v>1</v>
      </c>
      <c r="XAB59">
        <f>IF(ISNUMBER(XAA59),_xlfn.RANK.EQ(XAA59,$XAA$2:$XAA$254,0)+COUNTIF($XAA$2:XAA59,XAA59)-1,"")</f>
        <v>58</v>
      </c>
      <c r="XAC59" s="11" t="str">
        <f t="shared" si="1"/>
        <v>essarevolucaocomecoucomadifusaodastecnologiasdecomunicacaodesenvolvidasnasultimasdecadasdoseculo20eseintensificoucomosavancosnainteligenciaartificialenabiotecnologiaapartirdaprimeiradecadadoseculo21numavelocidademuitomaiordoquenastresrevolucoesanterioresaquartarevolucaoindustrialpassouaenvolveroconjuntoderecursosprodutivospropiciadosportecnologiaderoboticaeinteligenciaartificialquevempossibilitandograndesganhosdeprodutividadeedecompetitividadeemtodomundofonte:estadaoosdesafiosdaindustria40estadaoonline2019disponivelem:&lt;https://opiniaoestadaocombr/noticias/notaseinformacoesodesafiodaindustria4070003091856&gt;acessoem:29set2020considerandoessasinformacoeseoconteudoestudadosobreprincipiosdedesigndaindustria40analiseoscincoprincipiosaseguireassocieoscomsuasrespectivasexplicacoes: 1interoperabilidade2virtualizacao3descentralizacao4capacidadeemtemporeal5modularidadepormeiodaioteacapacidadedeatuaremconjuntoeacapacidadedeadaptacaodaindustria40eacapacidadederealizarsimulacoesdaproducaosemalteracoesfisicaseoesforcodequeanalisessejamfeitasaomesmotempoqueoprocessoaconteceeaautonomiaqueoscomponentesdeumafabricainteligentepossuemagoraassinaleaalternativaqueapresentaasequenciacorreta:</v>
      </c>
    </row>
    <row r="60" spans="3:6 16251:16253" x14ac:dyDescent="0.25">
      <c r="C60" s="17">
        <f t="shared" si="2"/>
        <v>59</v>
      </c>
      <c r="D60" t="s">
        <v>140</v>
      </c>
      <c r="E60" t="s">
        <v>141</v>
      </c>
      <c r="F60" s="9"/>
      <c r="XAA60">
        <f t="shared" si="0"/>
        <v>1</v>
      </c>
      <c r="XAB60">
        <f>IF(ISNUMBER(XAA60),_xlfn.RANK.EQ(XAA60,$XAA$2:$XAA$254,0)+COUNTIF($XAA$2:XAA60,XAA60)-1,"")</f>
        <v>59</v>
      </c>
      <c r="XAC60" s="11" t="str">
        <f t="shared" si="1"/>
        <v>essascoisasnaoseriamapenassmartphoneetabletsaexpressaoeminglesinternetofthingsrepresentadapelasiglaiotrefereseaumecossistemaqueinterligaqualquerobjetodocotidianoaredesemfiodainternetcomogeladeirasoculoselevadoresroupascarroentreoutrosumdosprincipaisexemploseogoogleglassoculosinteligentesdogooglequerealizaumaseriedeatividadesecontacomrecursoscomorealidadeaumentadamensagensinstantaneasevideoconferenciasfonte:cunhacinternetdascoisasoquemudaquandonaosopessoasmasosobjetostambemseconectam?uoldisponivelem:&lt;https://vestibularuolcombr/resumodasdisciplinas/atualidades/internetdascoisasoquemudaquandonaosopessoasmasosobjetostambemseconectamhtm&gt;acessoem:12out2020considerandoessasinformacoeseoconteudoestudadosobremundointeligenteanaliseasafirmativasaseguir:irobosinteligentestornamomundomaisinteligenteamedidaqueinseremnasociedademaquinasquesecomportameseparecemcomhumanosiinomundointeligenteaimpressaointeligentepermitequeaproducaopassedeanalogicaparadigitaliiiainteligenciaartificialecomumenteadotadaporempresascomabordagenshibridasivprodutosinteligentessaoobjetosaosquaisseagregouvaloraoseadicionarcomponenteseletronicosestacorretoapenasoqueseafirmaem:</v>
      </c>
    </row>
    <row r="61" spans="3:6 16251:16253" x14ac:dyDescent="0.25">
      <c r="C61" s="17">
        <f t="shared" si="2"/>
        <v>60</v>
      </c>
      <c r="D61" t="s">
        <v>142</v>
      </c>
      <c r="E61" t="s">
        <v>143</v>
      </c>
      <c r="F61" s="9"/>
      <c r="XAA61">
        <f t="shared" si="0"/>
        <v>1</v>
      </c>
      <c r="XAB61">
        <f>IF(ISNUMBER(XAA61),_xlfn.RANK.EQ(XAA61,$XAA$2:$XAA$254,0)+COUNTIF($XAA$2:XAA61,XAA61)-1,"")</f>
        <v>60</v>
      </c>
      <c r="XAC61" s="11" t="str">
        <f t="shared" si="1"/>
        <v>estanovaeconomiatemcomopontodetransicaoamudancanarelacaoprodutoreconsumidorantesextremamentedefinidaemqueoprimeirofaziaoprodutoeosegundopassivamenteassistialheistoacarretouumanovasistematicaquecolocaquestionamentosaossetoreseconomicosquesofreraodrasticasconsequenciasporteremderemodelarsuaformadeatuacaonomercadoespecialmenteasempresasprodutorasdeinformacaotantoimpressoquantoaudiovisualpassandopelomusicalfonte:massarolojcalvarengamvtdaindustriaaudiovisualeosnovosarranjosdaeconomiadigitalin:meleiroaorgcinemaemercadosaopaulo:escrituras2009v3 considerandoessasinformacoeseoconteudoestudadosobretendenciastecnologicaspodeseafirmarque:</v>
      </c>
    </row>
    <row r="62" spans="3:6 16251:16253" x14ac:dyDescent="0.25">
      <c r="C62" s="17">
        <f t="shared" si="2"/>
        <v>61</v>
      </c>
      <c r="D62" t="s">
        <v>144</v>
      </c>
      <c r="E62" t="s">
        <v>30</v>
      </c>
      <c r="F62" s="9"/>
      <c r="XAA62">
        <f t="shared" si="0"/>
        <v>1</v>
      </c>
      <c r="XAB62">
        <f>IF(ISNUMBER(XAA62),_xlfn.RANK.EQ(XAA62,$XAA$2:$XAA$254,0)+COUNTIF($XAA$2:XAA62,XAA62)-1,"")</f>
        <v>61</v>
      </c>
      <c r="XAC62" s="11" t="str">
        <f t="shared" si="1"/>
        <v>euachoqueosobjetivosdesefalardeumageracaosaodiversosoprimeiroereconhecerqueomundoestaemrapidatransicaoatransicaodomundoocidentalnaoocorrenamesmaevolucaoqueocorriaha4050anosatras[]outroaspectoqueeuachoimportanteeutilizarasgeracoescomoumachavecomoumalenteparaentenderocomportamentodooutro[]conseguirretracarocaminhohistoricooseventossociaisquelevaramaquelavisaodemundofavorecemumaempatiadooutrofonte:aimportanciadoestudodasgeracoespostadoporcanalcasadosaber3min47segcolportdisponivelem:&lt;https://wwwyoutubecom/watch?v=slsxksexasg&gt;acessoem:25jun2020considerandoessasinformacoeseoconteudoestudadosobreasgeracoesxyezanaliseasafirmativasaseguireassinalevparaasverdadeirasefparaasfalsas:i umageracaoeumgrupodepessoasqueaopassarporacontecimentosparecidosconsoantesasuaepocadesenvolvemcomportamentossimilaresii emmediacincogeracoescoexistememumasociedadeoquecausaconflitosgeracionaisiii saoexemplosdeeventosquemarcamumageracao:guerraspandemiaseinvencoestecnologicasiv aduracaomediadeumageracaoede10anosenormalmenteosfilhossaoduasgeracoesmaisnovosqueseuspaisagoraassinaleaalternativaqueapresentaasequenciacorreta:</v>
      </c>
    </row>
    <row r="63" spans="3:6 16251:16253" x14ac:dyDescent="0.25">
      <c r="C63" s="17">
        <f t="shared" si="2"/>
        <v>62</v>
      </c>
      <c r="D63" t="s">
        <v>145</v>
      </c>
      <c r="E63" t="s">
        <v>146</v>
      </c>
      <c r="F63" s="9"/>
      <c r="XAA63">
        <f t="shared" si="0"/>
        <v>1</v>
      </c>
      <c r="XAB63">
        <f>IF(ISNUMBER(XAA63),_xlfn.RANK.EQ(XAA63,$XAA$2:$XAA$254,0)+COUNTIF($XAA$2:XAA63,XAA63)-1,"")</f>
        <v>62</v>
      </c>
      <c r="XAC63" s="11" t="str">
        <f t="shared" si="1"/>
        <v>foramnecessariosmilhoesdeanosdeevolucaoparaohomemlargarsuaorigemprimataeaprenderasesustentarcomeficienciasobreosdoispespoisbastaramalgumasdecadasdeusointensodatecnologiaparanossacolunavertebralcuidadosamentemoldadaenfrentarseuprimeirograndedesafiooprincipalinimigoestanasmaosdemaisde5bilhoesdepessoas:osmartphonefonte:oneausoexcessivoeerradodocelularpodecausardorrevistaepoca2019disponivelem:&lt;https://epocaglobocom/usoexcessivoerradodocelularpodecausardordopescocotecnologico23973462&gt;acessoem:01ago2020considerandoessasinformacoeseoconteudoestudadosobreocenarioatualdacomputacaoanaliseasafirmativasaseguir:itextneckeumtermonovoqueremeteaposturaindevidadecabecabaixadousuarioaoutilizarseusmartphonequepodesercausadoradedoresdecabecaededoresnosbracoseombros iiwhatsappitisemhomenagemaoaplicativodemensagensinstantaneaswhatsappeumdiagnosticodadorbilateraldopunhogeradapelomovimentorepetitivodedigitariiimuitosestudosteorizamarelacaoentreautilizacaodesmartphoneseacidentesdecarrodevidoadistracaodosmotoristasmasaindafaltamprovasempiricassobretalfatoivcomatecnologiamovelpedestressedeslocamfocandosuaatencaonastelasdeseussmartphonesdesatentosaoqueocorreasuavoltaoqueaumentaoriscodeacidentes estacorretoapenasoqueseafirmaem:</v>
      </c>
    </row>
    <row r="64" spans="3:6 16251:16253" x14ac:dyDescent="0.25">
      <c r="C64" s="17">
        <f t="shared" si="2"/>
        <v>63</v>
      </c>
      <c r="D64" t="s">
        <v>147</v>
      </c>
      <c r="E64" t="s">
        <v>146</v>
      </c>
      <c r="F64" s="9"/>
      <c r="XAA64">
        <f t="shared" ref="XAA64:XAA127" si="3">IF(ISNUMBER(SEARCH($WZS$4,XAC64)),1,"")</f>
        <v>1</v>
      </c>
      <c r="XAB64">
        <f>IF(ISNUMBER(XAA64),_xlfn.RANK.EQ(XAA64,$XAA$2:$XAA$254,0)+COUNTIF($XAA$2:XAA64,XAA64)-1,"")</f>
        <v>63</v>
      </c>
      <c r="XAC64" s="11" t="str">
        <f t="shared" ref="XAC64:XAC127" si="4">IF($I$4="S",SUBSTITUTE(D64," ",""),SUBSTITUTE(SUBSTITUTE(SUBSTITUTE(SUBSTITUTE(SUBSTITUTE(SUBSTITUTE(SUBSTITUTE(SUBSTITUTE(SUBSTITUTE(SUBSTITUTE(SUBSTITUTE(SUBSTITUTE(SUBSTITUTE(SUBSTITUTE(SUBSTITUTE(SUBSTITUTE(SUBSTITUTE(SUBSTITUTE(SUBSTITUTE(SUBSTITUTE(SUBSTITUTE(SUBSTITUTE(SUBSTITUTE(SUBSTITUTE(SUBSTITUTE(SUBSTITUTE(SUBSTITUTE(LOWER(D64)," ",""),"ã","a"),"á","a"),"à","a"),"â","a"),"é","e"),"ê","e"),"í","i"),"ó","o"),"õ","o"),"ô","o"),"ú","u"),"ü","u"),"ç","c"),"“",""),"”",""),",",""),";",""),"(",""),")",""),"+",""),"-",""),".",""),"–",""),"‘",""),"’",""),"+","+"))</f>
        <v>in·te·li·gen·ci·alatimintelligentiaaepluralneutrodeintelligensentisparticipiopresentedeintelligoerepercebercompreenderconjuntodetodasasfaculdadesintelectuaismemoriaimaginacaojuizoraciocinioabstracaoeconcepcaofonte:priberamdicionariopriberamdalinguaportuguesadisponivelem:&lt;https://dicionariopriberamorg/intelig%c3%aancia&gt;acessoem:29set2020considerandoessasinformacoesedeacordooconteudoestudadosobreinteligenciaeinteligenciaartificialanaliseasafirmativasaseguir:iainteligenciahumanapossuiacapacidadedeperceberomundoascoisaseasimesmoiiainteligenciahumanapossuiacapacidadedeaprendereseadaptaraolongodotempoiiiainteligenciahumanatemacapacidadedeconsiderarinfinitasvariaveisparaaresolucaodeumproblemaivainteligenciaartificialpossuiacapacidadedeaprendereseadaptaraolongodotempoestacorretoapenasoqueseafirmaem:</v>
      </c>
    </row>
    <row r="65" spans="3:6 16251:16253" x14ac:dyDescent="0.25">
      <c r="C65" s="17">
        <f t="shared" ref="C65:C128" si="5">XAB65</f>
        <v>64</v>
      </c>
      <c r="D65" t="s">
        <v>148</v>
      </c>
      <c r="E65" t="s">
        <v>149</v>
      </c>
      <c r="F65" s="9"/>
      <c r="XAA65">
        <f t="shared" si="3"/>
        <v>1</v>
      </c>
      <c r="XAB65">
        <f>IF(ISNUMBER(XAA65),_xlfn.RANK.EQ(XAA65,$XAA$2:$XAA$254,0)+COUNTIF($XAA$2:XAA65,XAA65)-1,"")</f>
        <v>64</v>
      </c>
      <c r="XAC65" s="11" t="str">
        <f t="shared" si="4"/>
        <v>inquestionavelmenteacomplexidadedasorganizacoesestaaaumentarrequerendosiigualmentemaiscomplexosparaasatisfacaodassuasnecessidadesdeinformacao[]cadaorganizacaonecessitadelidarcomdiferentesproblemasenvolvendodiferentesprofissionaiscomexperienciaeformacaodiferentesutilizandometodosetecnicasdistintosrecorrendoadiferentesfornecedoresparaobterosservicosquenecessitaetc fonte:varajaojoaoeduardoquintelaalvesdesousafuncaodesistemasdeinformacao:contributosparaamelhoriadosucessodaadopcaodetecnologiasdeinformacaoedesenvolvimentodesistemasdeinformacaonasorganizacoes2002425ftesedoutoradocursodesistemasdeinformacaouniversidadedominhoguimaraes2002disponivelem&lt;https://repositoriumsdumuminhopt/bitstream/1822/25960/1/tesephdjoaovarajaopdf&gt;acessoem:24fev2019notrechoapresentadoepossivelperceberqueossistemasdeinformacaoestaosetornandocadavezmaiscompletosetemoseucrescimentoecomplexidaderelacionadosdiretamenteaocrescimentodaempresasobreossistemasdeinformacaorelacionadosavisaogeraldaempresaanaliseasafirmativasaseguiriossistemasdeinformacaoestrategicossaoosunicosquepodemdeterminarofuturodaorganizacaoiiossistemasdeapoiodadecisaorecebemdadosdediversasfontesepermitemumavisaopanoramicadassituacoesdocotidianodaempresaiiiossistemasdeinformacaogerencialcuidamdoniveloperacionalnaosepreocupandocomasdemaisareasdaempresaivossistemasdeinformacaotransacionaistendemaseaprofundarnasrotinasdeproducaoemonitoramentodeumaorganizacaoestacorretoapenasoqueseafirmaem:</v>
      </c>
    </row>
    <row r="66" spans="3:6 16251:16253" x14ac:dyDescent="0.25">
      <c r="C66" s="17">
        <f t="shared" si="5"/>
        <v>65</v>
      </c>
      <c r="D66" t="s">
        <v>150</v>
      </c>
      <c r="E66" t="s">
        <v>151</v>
      </c>
      <c r="F66" s="9"/>
      <c r="XAA66">
        <f t="shared" si="3"/>
        <v>1</v>
      </c>
      <c r="XAB66">
        <f>IF(ISNUMBER(XAA66),_xlfn.RANK.EQ(XAA66,$XAA$2:$XAA$254,0)+COUNTIF($XAA$2:XAA66,XAA66)-1,"")</f>
        <v>65</v>
      </c>
      <c r="XAC66" s="11" t="str">
        <f t="shared" si="4"/>
        <v>jaimaginoucomoseriamagicosetodososnossoseletronicosconversassem?seriapossivelcontrolaracasainteiranapalmadasmaosbemparecequeessefuturonaoestataodistanterecentementeapplegoogleamazonezigbeeallianceseuniramparacriarumaverdadeiracasainteligentecomdispositivosquesaocompativeisentresiecomseusaparelhoscomandadosporvozfonte:haradaacacasainteligenteestamaispertodoquevoceimagina!casacombr2020disponivelem:&lt;https://casaabrilcombr/tecnologia/acasainteligenteestamaispertodoquevoceimagina/&gt;acessoem:02ago2020considerandoessasinformacoeseoconteudoestudadosobreconceitosetecnologiasimportantesdaiotanaliseasafirmativasaseguir:iumobjetointeligenteeumdispositivoeletronicoquepodeserumobjetocomummasecapacitadocominteligenciaartificialiiobjetosinteligentesinteragindoemumlocaldeterminadotransformamestelocalemumambienteinteligenteiiisaoexemplosdeambientesinteligentes:casasinteligentescidadesinteligentesbairrosinteligentesescritoriosinteligentesivaadocaodainternetdascoisasemplantasindustriaisdeuorigematerceirarevolucaoindustrialvcomunicacaomaquinaamaquinaeindustria30saoconceitosiguaisdiferemapenasnaepocaemqueforamadotadosestacorretoapenasoqueseafirmaem:</v>
      </c>
    </row>
    <row r="67" spans="3:6 16251:16253" x14ac:dyDescent="0.25">
      <c r="C67" s="17">
        <f t="shared" si="5"/>
        <v>66</v>
      </c>
      <c r="D67" t="s">
        <v>152</v>
      </c>
      <c r="E67" t="s">
        <v>146</v>
      </c>
      <c r="F67" s="9"/>
      <c r="XAA67">
        <f t="shared" si="3"/>
        <v>1</v>
      </c>
      <c r="XAB67">
        <f>IF(ISNUMBER(XAA67),_xlfn.RANK.EQ(XAA67,$XAA$2:$XAA$254,0)+COUNTIF($XAA$2:XAA67,XAA67)-1,"")</f>
        <v>66</v>
      </c>
      <c r="XAC67" s="11" t="str">
        <f t="shared" si="4"/>
        <v>masatransformacaonaoincluisomaquinashardwaresesoftwares:ocapitalhumanotambempassaporumafasedemudancasassoftskillsteraocadavezmaisdestaquenouniversoindustrialeoelementohumanosomadoaoconhecimentoformalostrabalhadoresnaoseraodemandadossomenteporsuashabilidadestecnicasseracomumatuarnarevisaodeprocessostransversaistomardecisoesdeformaagiltrabalharemequipesdinamicasefazergerenciamentoeanalisedegrandesvolumesdedadostudoemumambientecadavezmaisdigitalafirmanoellymercerfonte:fiepskills40:estudoanalisahabilidadesprofissionaisdofuturoglobocom2020disponivelem:&lt;https://g1globocom/pr/parana/especialpublicitario/fiep/sistemafiep/noticia/2020/08/18/skills40estudoanalisahabilidadesprofissionaisdofuturoghtml&gt;acessoem:29set2020considerandoessasinformacoeseoconteudoestudadosobreoprofissionaldigitalanaliseasafirmativasaseguir:ioaumentonousodetecnologiasdainformacaoecomunicacaonoambientedetrabalhomodificouascapacidadesehabilidadesexigidasdotrabalhadoriihamaiordemandaportrabalhadoresespecialistasemdesenvolvimentodesoftwareseemprogramacaoemgeralparadesenvolvimentodeprodutosiiiascapacidadesgenericasdetecnologiasdainformacaoecomunicacaodizemrespeitoaoconhecimentosobreaorganizacaogeraldedadosivparaaproveitarasoportunidadescriadaspelastecnologiasdainformacaoecomunicacaonovashabilidadescomportamentaissaoexigidasdostrabalhadoresestacorretoapenasoqueseafirmaem:</v>
      </c>
    </row>
    <row r="68" spans="3:6 16251:16253" x14ac:dyDescent="0.25">
      <c r="C68" s="17">
        <f t="shared" si="5"/>
        <v>67</v>
      </c>
      <c r="D68" t="s">
        <v>153</v>
      </c>
      <c r="E68" t="s">
        <v>154</v>
      </c>
      <c r="F68" s="9"/>
      <c r="XAA68">
        <f t="shared" si="3"/>
        <v>1</v>
      </c>
      <c r="XAB68">
        <f>IF(ISNUMBER(XAA68),_xlfn.RANK.EQ(XAA68,$XAA$2:$XAA$254,0)+COUNTIF($XAA$2:XAA68,XAA68)-1,"")</f>
        <v>67</v>
      </c>
      <c r="XAC68" s="11" t="str">
        <f t="shared" si="4"/>
        <v>milpessoasaceitaramseretiquetadasemumfestivaldeartenaaustriacadaumarecebiaumatarjasemelhanteaumcodigodebarrascomumchipeumtransmissorderadio[]semprequedoisdessesindividuosseencontravamasetiquetasregistravamahoraeolocaldainteracaoreunidososdadosessesencontrosforamrepresentadosgraficamenteporpontosligadosentresiformandoumateiaderelacionamentosummapaemtemporealdasrelacoessociaisdofestivalfonte:superinteressanteomundoversaoonline2004disponivelem:&lt;https://superabrilcombr/tecnologia/omundoversaoonline/&gt;acessoem:02ago2020considerandoessasinformacoeseoconteudoestudadosobreastecnologiasimportantesparaaiotestacorretoafirmarque:</v>
      </c>
    </row>
    <row r="69" spans="3:6 16251:16253" x14ac:dyDescent="0.25">
      <c r="C69" s="17">
        <f t="shared" si="5"/>
        <v>68</v>
      </c>
      <c r="D69" t="s">
        <v>155</v>
      </c>
      <c r="E69" t="s">
        <v>105</v>
      </c>
      <c r="F69" s="9"/>
      <c r="XAA69">
        <f t="shared" si="3"/>
        <v>1</v>
      </c>
      <c r="XAB69">
        <f>IF(ISNUMBER(XAA69),_xlfn.RANK.EQ(XAA69,$XAA$2:$XAA$254,0)+COUNTIF($XAA$2:XAA69,XAA69)-1,"")</f>
        <v>68</v>
      </c>
      <c r="XAC69" s="11" t="str">
        <f t="shared" si="4"/>
        <v>mineracaodedadosdataminingeonomedadoaumconjuntodetecnicaseprocedimentosquetentaextrairinformacoesdenivelsemanticomaisaltoapartirdedadosbrutosemoutraspalavraspermitindoaanalisedegrandesvolumesdedadosparaextracaodeconhecimento fonte:santosrafaelconceitosdemineracaodedadosnaweb2009disponivelem:&lt;http://wwwlacinpebr/~rafaelsantos/docs/webmedia/2009/webmedia2009pdf&gt;acesso24fev2019considerandoasinformacoesapresentadaseoconteudoestudadosobreossistemasdedatamininganaliseasafirmativasaseguiriamineracaodedadosvisadescobrirregrasidentificarfatoresdescobrirpadroesderelacionamentosiiamineracaodedadosvisacompreenderastendenciaschavededeterminadofatorounecessidadeiiiamineracaodedadosprocurarsempreobtervantagemcompetitivaivamineracaodedadoseumapraticasimplificadaporumaanaliseconstruidaapartirdedadosdeumamesmafonteestacorretoapenasoqueseafirmaem</v>
      </c>
    </row>
    <row r="70" spans="3:6 16251:16253" x14ac:dyDescent="0.25">
      <c r="C70" s="17">
        <f t="shared" si="5"/>
        <v>69</v>
      </c>
      <c r="D70" t="s">
        <v>156</v>
      </c>
      <c r="E70" t="s">
        <v>32</v>
      </c>
      <c r="F70" s="9"/>
      <c r="XAA70">
        <f t="shared" si="3"/>
        <v>1</v>
      </c>
      <c r="XAB70">
        <f>IF(ISNUMBER(XAA70),_xlfn.RANK.EQ(XAA70,$XAA$2:$XAA$254,0)+COUNTIF($XAA$2:XAA70,XAA70)-1,"")</f>
        <v>69</v>
      </c>
      <c r="XAC70" s="11" t="str">
        <f t="shared" si="4"/>
        <v>mudancasnosprocessosprodutivosvemocorrendoaolongodosanosastresrevolucoesindustriaisocorridasaolongode200anosforammarcoshistoricosdessasalteracoessendoestudadasaposocorreremaquartarevolucaoindustrialvemsendochamadadeindustria40epelaprimeiravezeinvestigadaantesdeocorrerouenquantoestaacontecendofonte:pereiraadeoliveirasimonettoeindustria40:conceitoseperspectivasparaobrasilrevistadauniversidadevaledorioverde16n12018considerandoessasinformacoeseoconteudoestudadosobreasrevolucoesindustriaisrelacionecadarevolucaoassuasprincipaiscaracteristicas: 11ªrevolucaoindustrial22ªrevolucaoindustrial33ªrevolucaoindustrial44ªrevolucaoindustrialinternetdascoisasbigdatasistemasciberfisicoslinhadeproducaofordismotaylorismoproducaoemmassamaquinaavaporseparacaodotrabalhomecanizacaocomputadoreseletronicosautomacaoagoraassinaleaalternativaqueapresentaasequenciacorreta:</v>
      </c>
    </row>
    <row r="71" spans="3:6 16251:16253" x14ac:dyDescent="0.25">
      <c r="C71" s="17">
        <f t="shared" si="5"/>
        <v>70</v>
      </c>
      <c r="D71" t="s">
        <v>157</v>
      </c>
      <c r="E71" t="s">
        <v>33</v>
      </c>
      <c r="F71" s="9"/>
      <c r="XAA71">
        <f t="shared" si="3"/>
        <v>1</v>
      </c>
      <c r="XAB71">
        <f>IF(ISNUMBER(XAA71),_xlfn.RANK.EQ(XAA71,$XAA$2:$XAA$254,0)+COUNTIF($XAA$2:XAA71,XAA71)-1,"")</f>
        <v>70</v>
      </c>
      <c r="XAC71" s="11" t="str">
        <f t="shared" si="4"/>
        <v>noentantocomopassardostemposaideiadetornarocomputadoratrativoacaboucedendoespacoparaideiadetornarocomputadorfacilenaturaldeusardeformaqueelefossetaoapropriadotaonaturalquepoderiamosusalosemsequerpensarounotarsurgiaassimacomputacaoubiquaconceitocriadopelocientistadacomputacaoamericanomarkweiserem1988epublicadoem1991noseuartigothecomputerforthe21stcentury"fonte:rodovalhormmoraesregcomputacaoubiquaeihcdepartamentodecomputacaouniversidadefederalfluminense2009considerandoessasinformacoeseoconteudoestudadosobreaexplicacaodeweisersobrecomputacaoubiquaanaliseasafirmativasaseguir:imarcweiserutilizouotermocomputacaoubiquaparafalarsobreoparadigmacomputacionalemqueeleeseutimeestavamimersosevivenciavamnodiaadiaiiaescritaeumexemplodetecnologiaubiquajaquenosnempercebemosoquantoelaestapresenteemtodososlugaresnoslemosumletreirosemconscientementedecidirleloiiiaubiquidadecomputacionaldizrespeitoadispositivostecnologicosmoveiseaoaumentodacapacidadedearmazenamentoeprocessamentodetaisdispositivosivsaonecessariastrescaracteristicasparapossibilitaracomputacaoubiqua:computadoresacessiveiscombaixoconsumodeenergiacomdisplayspraticossoftwaresparaaplicacoesubiquaseumaredequeconectetudoissoestacorretoapenasoqueseafirmaem:</v>
      </c>
    </row>
    <row r="72" spans="3:6 16251:16253" x14ac:dyDescent="0.25">
      <c r="C72" s="17">
        <f t="shared" si="5"/>
        <v>71</v>
      </c>
      <c r="D72" t="s">
        <v>158</v>
      </c>
      <c r="E72" t="s">
        <v>31</v>
      </c>
      <c r="F72" s="9"/>
      <c r="XAA72">
        <f t="shared" si="3"/>
        <v>1</v>
      </c>
      <c r="XAB72">
        <f>IF(ISNUMBER(XAA72),_xlfn.RANK.EQ(XAA72,$XAA$2:$XAA$254,0)+COUNTIF($XAA$2:XAA72,XAA72)-1,"")</f>
        <v>71</v>
      </c>
      <c r="XAC72" s="11" t="str">
        <f t="shared" si="4"/>
        <v>nosdiasatuaiscomaconvergenciadastecnologiasderadiodosmicroprocessadoresedosdispositivoseletronicosdigitaisdeusopessoaltornousepossivelfazercomqueosdispositivoscomcertopoderdeprocessamentocomputacionaltantomoveisquantoestacionarioscooperementresiparaforneceraousuarioacessoinstantaneoanovosservicosdeformatransparenteessacaracteristicalevouaosurgimentodoconceitodeubiquidadenacomputacaofonte:cirilocecomputacaoubiqua:definicaoprincipiosetecnologiasdepartamentodecomputacaouniversidadefederaldesaocarlosn92008considerandoessasinformacoeseoconteudoestudadosobrecomputacaoubiquaepervasivaanaliseasassercoesaseguirearelacaopropostaentreelas:ifuncionalidadescomputacionaisestaodisponiveisaqualquerhoraelugardispositivosatuamnoambientesemaintervencaohumananestecontextosurgiramostermoscomputacaoubiquaecomputacaopervasivaporque:iiaevolucaotecnologicapermitiuquecomputadoresficassemcadavezmenoresecadavezmaispoderososcomissosurgiramsensoreseoutrosdispositivosquepodemserembutidosemobjetoscotidianosaseguirassinaleaalternativacorreta:</v>
      </c>
    </row>
    <row r="73" spans="3:6 16251:16253" x14ac:dyDescent="0.25">
      <c r="C73" s="17">
        <f t="shared" si="5"/>
        <v>72</v>
      </c>
      <c r="D73" t="s">
        <v>159</v>
      </c>
      <c r="E73" t="s">
        <v>35</v>
      </c>
      <c r="F73" s="9"/>
      <c r="XAA73">
        <f t="shared" si="3"/>
        <v>1</v>
      </c>
      <c r="XAB73">
        <f>IF(ISNUMBER(XAA73),_xlfn.RANK.EQ(XAA73,$XAA$2:$XAA$254,0)+COUNTIF($XAA$2:XAA73,XAA73)-1,"")</f>
        <v>72</v>
      </c>
      <c r="XAC73" s="11" t="str">
        <f t="shared" si="4"/>
        <v>ocrescimentodessamodalidadedenegocio[empreendedorismodigital]seexplicapelosfatoresquelevamosempreendedoresdigitaisaescolhela:afamiliaridadecomomeiovirtualocustoreduzidodeinvestimentoinicialdevidoanecessidadedemenosinfraestruturaavelocidadedosnegocioseodinamismodomundovirtualquepermiteaotimizacaodotempoeaflexibilidadedehorariossemperderoacessoaosnovosmercadosfonte:dinoempreendedorismodigital:novamodalidadedenegociosestapresentenobrasilterra2018disponivelem:&lt;https://wwwterracombr/noticias/dino/empreendedorismodigitalnovamodalidadedenegociosestapresentenobrasila6e2fdc507f91a6f8d0a308001f4d4bc9oimap8phtml&gt;acessoem:12out2020considerandoessasinformacoeseoconteudoestudadosobrecasosdesucessodeempresasdigitaisanaliseasafirmativasaseguireassinalevparaasverdadeirasefparaasfalsasiempresasqueseapoiamnaeconomiacolaborativaintermediamatrocaderecursosentreindividuosiioairbnbdespertouumanovanecessidadedoconsumidorqueeadereservarsuahospedagematravesdainternetiiinetflixeumaempresaquejanasceudigitalcomfoconostreamingdevideospelainternetivonubankofereceumservicoaoqualjatinhamosacessomasquecomoapoiodetecnologiasconsegueagregarmaisvalorparaseusjovensconsumidoresagoraassinaleaalternativaqueapresentaasequenciacorreta:</v>
      </c>
    </row>
    <row r="74" spans="3:6 16251:16253" x14ac:dyDescent="0.25">
      <c r="C74" s="17">
        <f t="shared" si="5"/>
        <v>73</v>
      </c>
      <c r="D74" t="s">
        <v>160</v>
      </c>
      <c r="E74" t="s">
        <v>105</v>
      </c>
      <c r="F74" s="9"/>
      <c r="XAA74">
        <f t="shared" si="3"/>
        <v>1</v>
      </c>
      <c r="XAB74">
        <f>IF(ISNUMBER(XAA74),_xlfn.RANK.EQ(XAA74,$XAA$2:$XAA$254,0)+COUNTIF($XAA$2:XAA74,XAA74)-1,"")</f>
        <v>73</v>
      </c>
      <c r="XAC74" s="11" t="str">
        <f t="shared" si="4"/>
        <v>ofatoequeessefuturojachegoueaformadasroupaseacessoriosnaosealterouapontodeparecermoscomoosastronautasidealizadosnopassadorisosaschamadaswearablestechnologyousimplesmentetecnologiasvestiveisjapodemserencontradasemlojasdegrandesmarcasinternacionaisaredesdemagazinefonte:boasev5tecnologiasvestiveisquejasaorealidadenoguardaroupajornalestadao2017disponivelem:&lt;https://emaisestadaocombr/blogs/amodadeles/5tecnologiasvestiveisquejasaorealidadenoguardaroupa/&gt;acessoem:01ago2020considerandoessasinformacoeseoconteudoestudadosobretecnologiasvestiveisanaliseasafirmativasaseguir:itecnologiasvestiveisemingleswearabletechnologiesenglobamdispositivoseletronicosquesaointegradosaroupasouacessoriosquesaoutilizadospelousuarioiitecnologiasvestiveispodemterfuncionalidadesparecidascomcomputadoresousmartphonesmasdestacamseaquelasquetemcapacidadedecaptarinformacoesdousuarioedoambienteasuavoltaiiidesdequetenhamembutidoalgumcomponenteinteligentepodemserexemplosdetecnologiasvestiveis:relogiosoculoslentesdecontatotecidoseatejoiasiveumacaracteristicadastecnologiasvestiveisaostentacao:seususuariosgostamdeexibirseusgadgetsmodernosmostrandoqueestaousandoaultimatecnologiaestacorretoapenasoqueseafirmaem:</v>
      </c>
    </row>
    <row r="75" spans="3:6 16251:16253" x14ac:dyDescent="0.25">
      <c r="C75" s="17">
        <f t="shared" si="5"/>
        <v>74</v>
      </c>
      <c r="D75" t="s">
        <v>161</v>
      </c>
      <c r="E75" t="s">
        <v>30</v>
      </c>
      <c r="F75" s="9"/>
      <c r="XAA75">
        <f t="shared" si="3"/>
        <v>1</v>
      </c>
      <c r="XAB75">
        <f>IF(ISNUMBER(XAA75),_xlfn.RANK.EQ(XAA75,$XAA$2:$XAA$254,0)+COUNTIF($XAA$2:XAA75,XAA75)-1,"")</f>
        <v>74</v>
      </c>
      <c r="XAC75" s="11" t="str">
        <f t="shared" si="4"/>
        <v>oprofissionalmodernoestasofrendodedisturbiodahiperconexaomalquenosestadosunidosjafoibatizadodeidisorderumahomenagemdubiaaoiphonenolivrosleepingwithyoursmartphonedormindocomseusmartphoneleslieaperlowprofessoradaharvardbusinessschoolnarroucasosdeexecutivosquesofremdeinsoniacontroladaacordandotresvezespornoiteparachecaremailsfonte:oppermannaodisturbiodahiperconexaoepocanegocios2012disponivelem:&lt;https://epocanegociosglobocom/inteligencia/noticia/2012/08/odisturbiodahiperconexaohtml&gt;acessoem:11out2020considerandoessasinformacoeseoconteudoestudadosobreosatributosdahiperconectividadeanaliseasafirmativasaseguireassinalevparaasverdadeirasefparaasfalsasinahiperconectividadeoatributointeratividaderefereseaofatodequequalquerindividuopodeinteragircomasinformacoesdisponiveisiioatributofacilmenteacessivelrefereseafacilidadequetemosemcarregarosmartphoneparatodososlugaresquevamosiiioatributoriquezadeinformacoesserefereadisponibilidadedeinformacoesconteudocanaisdebuscaparaqualquerpessoaivnahiperconectividadeoatributonaoesosobrepessoasrefereseaofatodequeasociedadeatualfocanapreservacaoambientalagoraassinaleaalternativaqueapresentaasequenciacorreta:</v>
      </c>
    </row>
    <row r="76" spans="3:6 16251:16253" x14ac:dyDescent="0.25">
      <c r="C76" s="17">
        <f t="shared" si="5"/>
        <v>75</v>
      </c>
      <c r="D76" t="s">
        <v>162</v>
      </c>
      <c r="E76" t="s">
        <v>163</v>
      </c>
      <c r="F76" s="9"/>
      <c r="XAA76">
        <f t="shared" si="3"/>
        <v>1</v>
      </c>
      <c r="XAB76">
        <f>IF(ISNUMBER(XAA76),_xlfn.RANK.EQ(XAA76,$XAA$2:$XAA$254,0)+COUNTIF($XAA$2:XAA76,XAA76)-1,"")</f>
        <v>75</v>
      </c>
      <c r="XAC76" s="11" t="str">
        <f t="shared" si="4"/>
        <v>orelatorio[dopanoramasobreodesenvolvimentodomercadodetecnologiadobrasil]mostraporqueobrasilsetornouumdosprincipaispolosdeinovacaoeumfortecandidatoparaabrigarmaisstartupsbilionariasnosproximosanoscomdadosobtidosemumapesquisaquantitativa[]aconsultoriafoicapazdeindicarcomoosinvestimentosexternosemempresasbrasileirascresceramemritmoexponencialnosultimosanosfonte:loureirorentendaporqueobrasilsetornouumpoloparaocrescimentodestartupsexame2020disponivelem:&lt;https://examecom/tecnologia/entendaporqueobrasilsetornouumpoloparaocrescimentodestartups/&gt;acessoem:12out2020considerandoestasinformacoeseoconteudoestudadosobrestartupanaliseos4conceitosfundamentaisparasuadefinicaodisponiveisaseguireosassocieasuasrespectivascaracteristicas1cenariodeincerteza2modelodenegocio3serrepetivel4serescalavelcapacidadedaentregasistematicadedeterminadoprodutoouservicocontextoemqueumastartupoperacapacidadedecresceremanteramesmaestruturaeentregaresumeovalorentregueecomoeleeentregueparaoconsumidoragoraassinaleaalternativaqueapresentaasequenciacorreta:</v>
      </c>
    </row>
    <row r="77" spans="3:6 16251:16253" x14ac:dyDescent="0.25">
      <c r="C77" s="17">
        <f t="shared" si="5"/>
        <v>76</v>
      </c>
      <c r="D77" t="s">
        <v>164</v>
      </c>
      <c r="E77" t="s">
        <v>31</v>
      </c>
      <c r="F77" s="9"/>
      <c r="XAA77">
        <f t="shared" si="3"/>
        <v>1</v>
      </c>
      <c r="XAB77">
        <f>IF(ISNUMBER(XAA77),_xlfn.RANK.EQ(XAA77,$XAA$2:$XAA$254,0)+COUNTIF($XAA$2:XAA77,XAA77)-1,"")</f>
        <v>76</v>
      </c>
      <c r="XAC77" s="11" t="str">
        <f t="shared" si="4"/>
        <v>oseculoxxpautouseporprofundasalteracoesnaestruturaeconomicaesocialestefoidefactooseculodasgrandesmutacoesemqueohomemseviunolimiardeumanovaestruturadeumanovaformadepensarefazereconomiaanovaeconomiaorientadapelosrecursosdigitaisemergentescomoainterneteresultadodacongregacaoentreatecnologiaeainformacaoestacentradanasinstituicoespessoasenatransferenciadeinformacaometodosprocessosenaaprendizagemfonte:fernandesrjlgamareconomiadigitalepoliticasdedesenvolvimento:umaabordagemterritorialin:actasdo13ºcoloquiodaassociacaoportuguesadedesenvolvimentoregionalapdr:recriarevalorizaroterritorioapdreuniversidadedosacorescampusdeangradoheroismo5a8dejulhode2007considerandoessasinformacoeseoconteudoestudadosobretendenciastecnologicasanaliseasassercoesaseguirearelacaoentreelasiestamosvivendoaeconomiadigitalvistoquetodonegocioexistenteeumnegociodigitalaindaqueestenaosejaseufocoporque:iinosestamosvivendoemumasociedadeemqueomododeviverfoitotalmenteimpactadoemodificadopelasnovastecnologiasdigitaisaseguirassinaleaalternativacorreta:</v>
      </c>
    </row>
    <row r="78" spans="3:6 16251:16253" x14ac:dyDescent="0.25">
      <c r="C78" s="17">
        <f t="shared" si="5"/>
        <v>77</v>
      </c>
      <c r="D78" t="s">
        <v>165</v>
      </c>
      <c r="E78" t="s">
        <v>166</v>
      </c>
      <c r="F78" s="9"/>
      <c r="XAA78">
        <f t="shared" si="3"/>
        <v>1</v>
      </c>
      <c r="XAB78">
        <f>IF(ISNUMBER(XAA78),_xlfn.RANK.EQ(XAA78,$XAA$2:$XAA$254,0)+COUNTIF($XAA$2:XAA78,XAA78)-1,"")</f>
        <v>77</v>
      </c>
      <c r="XAC78" s="11" t="str">
        <f t="shared" si="4"/>
        <v>ossistemasdeinformacaogerencialsaoaformamaiscomumdesistemasdeinformacaogerencialelesfornecemaosusuariosfinaisadministrativosprodutosdeinformacaoqueapoiamgrandepartedesuasnecessidadesdetomadadedecisaododiaadiaossigfornecemumadiversidadedeinformacoespreespecificadasrelatorioseexibicoesemvideoparaaadministracaoquepodemserutilizadasparaajudalosatomartiposestruturadosmaiseficazesdedecisoesdiariasfonte:upfintroducaoaossistemasdeinformacaonasempresascap1p17disponivelem &lt;http://usuariosupfbr/~ricardo/sig_cap1_apostilapdf&gt;acesso05deabrilconsiderandoessasinformacoeseoconteudoestudadoanaliseasafirmativasaseguireassinalevparaasverdadeirasefparaasfalsas i ossistemasdeinformacaogerenciaissaocompostosporhardwaresoftwaresepelosseususuariosii ossistemasdeinformacaogerenciaisestaosemprebaseadosnacoletadedadosparaageracaoderelatoriosiii osrelatoriosgeradospelossistemasgerenciaissaoexatosetendemacompreenderosladosdeumasituacaoiv ossistemasdeinformacaogerenciaissaoutilizadosporumaclassedegestoresqueoperamemumnivelintermediarionatomadadedecisoesagoraassinaleaalternativaqueapresentaasequenciacorreta:</v>
      </c>
    </row>
    <row r="79" spans="3:6 16251:16253" x14ac:dyDescent="0.25">
      <c r="C79" s="17">
        <f t="shared" si="5"/>
        <v>78</v>
      </c>
      <c r="D79" t="s">
        <v>167</v>
      </c>
      <c r="E79" t="s">
        <v>28</v>
      </c>
      <c r="F79" s="9"/>
      <c r="XAA79">
        <f t="shared" si="3"/>
        <v>1</v>
      </c>
      <c r="XAB79">
        <f>IF(ISNUMBER(XAA79),_xlfn.RANK.EQ(XAA79,$XAA$2:$XAA$254,0)+COUNTIF($XAA$2:XAA79,XAA79)-1,"")</f>
        <v>78</v>
      </c>
      <c r="XAC79" s="11" t="str">
        <f t="shared" si="4"/>
        <v>plataformasesoftwareestaodisponibilizadoscomoservicossendoestesdisponibilizadosporambientesdecomputacaoemnuvemissotemmelhoradoaflexibilidadereduzindoocustototaldosnegocioseprovendoservicossobdemandamuitasempresasjautilizamcomputacaoemnuvemparadistribuirseussistemasdesoftwareeacreditasequeocorreraumamigracaoconstanteparaestesambientesfonte:sousafrmoreiralomachadojccomputacaoemnuvem:conceitostecnologiasaplicacoesedesafiosin:escolaregionaldecomputacaocearamaranhaoepiauiercemapi22009parnaibapip150considerandoessasinformacoeseoconteudoestudadosobrecomputacaoemnuvemanaliseasafirmativasaseguiricomputacaoemnuvemeumtipodetecnologiaquepermitequeoutrastecnologiasfuncionembemiinaexpressaocomputacaoemnuvemnuvemserefereamaneiracomoosdadosseaglomeramaoseremarmazenadosiiisobreasvantagensdacomputacaoemnuvempodemosdizerqueestapermitequeacapacidadecomputacionalsejaaprofundadaivacomputacaoemnuvemeumagrandealiadadainternetdascoisaspoissuportaatrocaeoprocessamentorapidodedadosestacorretoapenasoqueseafirmaem:</v>
      </c>
    </row>
    <row r="80" spans="3:6 16251:16253" x14ac:dyDescent="0.25">
      <c r="C80" s="17">
        <f t="shared" si="5"/>
        <v>79</v>
      </c>
      <c r="D80" t="s">
        <v>168</v>
      </c>
      <c r="E80" t="s">
        <v>169</v>
      </c>
      <c r="F80" s="9"/>
      <c r="XAA80">
        <f t="shared" si="3"/>
        <v>1</v>
      </c>
      <c r="XAB80">
        <f>IF(ISNUMBER(XAA80),_xlfn.RANK.EQ(XAA80,$XAA$2:$XAA$254,0)+COUNTIF($XAA$2:XAA80,XAA80)-1,"")</f>
        <v>79</v>
      </c>
      <c r="XAC80" s="11" t="str">
        <f t="shared" si="4"/>
        <v>podemosconsiderarqueinteroperabilidadeeahabilidadededoisoumaissistemascomputadoresmeiosdecomunicacaoredessoftwareeoutroscomponentesdetecnologiadainformacaodeinteragiredeintercambiardadosdeacordocomummetododefinidodeformaaobterosresultadosesperados[] fonte:brasilministeriodomeioambientedisponivelem&lt;http://wwwmmagovbr/informma/item/869interoperabilidadeoque%c3%a9&gt;acesso05deabrilde2019considerandoessasinformacoeseoconteudoestudadosobreoconceitodeinteroperabilidadeepossivelafirmarque:</v>
      </c>
    </row>
    <row r="81" spans="3:6 16251:16253" x14ac:dyDescent="0.25">
      <c r="C81" s="17">
        <f t="shared" si="5"/>
        <v>80</v>
      </c>
      <c r="D81" t="s">
        <v>170</v>
      </c>
      <c r="E81" t="s">
        <v>37</v>
      </c>
      <c r="F81" s="9"/>
      <c r="XAA81">
        <f t="shared" si="3"/>
        <v>1</v>
      </c>
      <c r="XAB81">
        <f>IF(ISNUMBER(XAA81),_xlfn.RANK.EQ(XAA81,$XAA$2:$XAA$254,0)+COUNTIF($XAA$2:XAA81,XAA81)-1,"")</f>
        <v>80</v>
      </c>
      <c r="XAC81" s="11" t="str">
        <f t="shared" si="4"/>
        <v>quandosefalaemcasaconectadaatualmentenaodaparaignoraraalexaassistentevirtualinteligente[]conectadoaoaparelhoechodotumsmartspeakeralexainterageporvozepermitetocarmusicasconfiguraralarmesorganizaragendacontrolartemperaturaproverinformacoessobretransitoenoticiasdiversasentreoutrascoisastambemepossivelfazerligacoescomalexaesehouverinstalacaocompativelacenderluztrancarportasabrirefecharportaoecortinasfonte:igtecnologiaterumacasaconectadaeinteligenteemaisfacildoqueseimaginaig2019disponivelem:&lt;https://tecnologiaigcombr/20191112/terumacasaconectadaeinteligenteemaisfacildoqueseimaginahtml&gt;acessoem:27out2020considerandoessasinformacoeseoconteudoestudadosobreassistentesdigitaisanaliseasassercoesaseguirearelacaoentreelasicientistasjaconfirmaramqueusuariosdeassistentesdigitaistendemadesenvolverumdesejoamorosoemrelacaoaseusdispositivoscomoemumarelacaoafetivaentrepessoasporque:iiassistentesdigitaispodemdetectaroestadoemocionaldeseuusuarioeadequarasualinguagemesuasrespostasaesteestadoincluindoaimitacaodeentonacoesverbaisdeemocoeshumanasaseguirassinaleaalternativacorreta:</v>
      </c>
    </row>
    <row r="82" spans="3:6 16251:16253" x14ac:dyDescent="0.25">
      <c r="C82" s="17">
        <f t="shared" si="5"/>
        <v>81</v>
      </c>
      <c r="D82" t="s">
        <v>171</v>
      </c>
      <c r="E82" t="s">
        <v>172</v>
      </c>
      <c r="F82" s="9"/>
      <c r="XAA82">
        <f t="shared" si="3"/>
        <v>1</v>
      </c>
      <c r="XAB82">
        <f>IF(ISNUMBER(XAA82),_xlfn.RANK.EQ(XAA82,$XAA$2:$XAA$254,0)+COUNTIF($XAA$2:XAA82,XAA82)-1,"")</f>
        <v>81</v>
      </c>
      <c r="XAC82" s="11" t="str">
        <f t="shared" si="4"/>
        <v>quasetudooqueeutilizadopelohomemcontemporaneopassaporalgumprocessodeindustrializacaotransformarumamateriaprimaemumprodutomaiselaboradofazpartedenossatrajetoriadesdeaprehistoriaquandoohomemconfeccionavautensiliosapartirdepedrasemetaisfonte:superinteressanteindustriasuperinteressante2016disponivelem:&lt;https://superabrilcombr/historia/industria/&gt;acessoem:29set2020considerandoessasinformacoeseoconteudoestudadosobreasrevolucoesindustriaisanaliseasassercoesaseguirearelacaoentreelasiapartirdoseculo18iniciouseumagrandetransformacaonasociedadecomoprocessodemigracaodasareasruraisparaasregioesurbanasporque: iinoiniciodoseculo18teveinicioaprimeirarevolucaoindustrialnainglaterraecomoaumentodamecanizacaoeprodutividadetrabalhosartesanaisperderamseuvaloraseguirassinaleaalternativacorreta:</v>
      </c>
    </row>
    <row r="83" spans="3:6 16251:16253" x14ac:dyDescent="0.25">
      <c r="C83" s="17">
        <f t="shared" si="5"/>
        <v>82</v>
      </c>
      <c r="D83" t="s">
        <v>173</v>
      </c>
      <c r="E83" t="s">
        <v>174</v>
      </c>
      <c r="F83" s="9"/>
      <c r="XAA83">
        <f t="shared" si="3"/>
        <v>1</v>
      </c>
      <c r="XAB83">
        <f>IF(ISNUMBER(XAA83),_xlfn.RANK.EQ(XAA83,$XAA$2:$XAA$254,0)+COUNTIF($XAA$2:XAA83,XAA83)-1,"")</f>
        <v>82</v>
      </c>
      <c r="XAC83" s="11" t="str">
        <f t="shared" si="4"/>
        <v>segundoogartnerem2020jaserao25bilhoesdeobjetosconectadosainternetumcrescimentoexponencialsobreos48bilhoesde2015deacordocomaconsultoriaatendenciaequeainternetdascoisasestejacadavezmaispresentenavidadetodoseesperasecomresultadospositivosfonte:epocanegociosonlineconheca6aplicacoesdainternetdascoisasquejaestaotornandoomundomelhorrevistaepocanegocios2019disponivelem:&lt;https://epocanegociosglobocom/tecnologia/noticia/2019/03/conheca6aplicacoesdainternetdascoisasquejaestaotornandoomundomelhorhtml&gt;acessoem:02ago2020considerandootrechoacimaeoconteudoestudadosobrearquiteturadainternetdascoisasanaliseasafirmativasaseguireassinalevparaasverdadeirasefparaasfalsas:i ahabilidadedecomunicacaodosdispositivosdaiotenvolveainteracaonaosocomoutrosobjetosmastambemcomanaturezaii ascoisasdaiotpossuemsensoreseatuadoresembutidosissopermitequeaomesmotempoemquepercebemanecessidadedealgumajusterealizemesteajusteiii ascapacidadesdaiotcriamoportunidadesdecriacaodenovosoumelhoresprodutoseservicosparaconsumidoresiv apesardetergrandepotencialparaoconsumidorasempresasdevemevitaradotardispositivosdaiotpelaameacaasegurancadedados agoraassinaleaalternativaqueapresentaasequenciacorreta:</v>
      </c>
    </row>
    <row r="84" spans="3:6 16251:16253" x14ac:dyDescent="0.25">
      <c r="C84" s="17">
        <f t="shared" si="5"/>
        <v>83</v>
      </c>
      <c r="D84" t="s">
        <v>175</v>
      </c>
      <c r="E84" t="s">
        <v>176</v>
      </c>
      <c r="F84" s="9"/>
      <c r="XAA84">
        <f t="shared" si="3"/>
        <v>1</v>
      </c>
      <c r="XAB84">
        <f>IF(ISNUMBER(XAA84),_xlfn.RANK.EQ(XAA84,$XAA$2:$XAA$254,0)+COUNTIF($XAA$2:XAA84,XAA84)-1,"")</f>
        <v>83</v>
      </c>
      <c r="XAC84" s="11" t="str">
        <f t="shared" si="4"/>
        <v>seteemcada10brasileirosacessamainternetgarantepesquisadatelebrasildivulgadanestasemanaocenarioatualreforcaaeradaconectividadeedemonstraqueoacessoawebtemsetornadocadavezmaisdemocraticoaotodosao127milhoesdeinternautasconectadosnopaisoquecorrespondeaumaumentode37%emcomparacaoaosultimoscincoanosfonte:consumidormoderno97%dosbrasileirosacessamainternetpelosmartphonerevistaconsumidormoderno2019disponivelem:&lt;https://wwwconsumidormodernocombr/2019/08/28/brasileirosinternetsmartphone/&gt;acessoem:25jun2020considerandoessasinformacoeseoconteudoestudadosobretecnologiasmoveiseseusimpactosnasociedadeestacorretoapenasoqueseafirmaem:</v>
      </c>
    </row>
    <row r="85" spans="3:6 16251:16253" x14ac:dyDescent="0.25">
      <c r="C85" s="17">
        <f t="shared" si="5"/>
        <v>84</v>
      </c>
      <c r="D85" t="s">
        <v>177</v>
      </c>
      <c r="E85" t="s">
        <v>178</v>
      </c>
      <c r="F85" s="9"/>
      <c r="XAA85">
        <f t="shared" si="3"/>
        <v>1</v>
      </c>
      <c r="XAB85">
        <f>IF(ISNUMBER(XAA85),_xlfn.RANK.EQ(XAA85,$XAA$2:$XAA$254,0)+COUNTIF($XAA$2:XAA85,XAA85)-1,"")</f>
        <v>84</v>
      </c>
      <c r="XAC85" s="11" t="str">
        <f t="shared" si="4"/>
        <v>substituirpapeiseprocessosmanuaisporprocessoseletronicospodelevarasempresasaeconomizartempoesforcoedinheiroeeaquiqueentramossistemasdeinformacoesmaisprecisamenteainternetesuaspossibilidadesdeusosabemosqueainternettemrevolucionadomuitosaspectosdavidadosnegociosousoderecursoseferramentasonlinepodemtrazervantagenscompetitivasparaasempresasnessesentidooebusinesseoprincipalmeiodeaplicacaodastecnologiasdeinformacaoparaoalcancedealgunsdosobjetivosdasempresasfonte:wakuliczgilmarjorgesistemasdeinformacoesgerenciaiscolegiopolitecnicoufsmsantamariars2016disponivelem&lt;http://estudio01projufsmbr/cadernos_cooperativismo/quinta_etapa/arte_sistemas_informacoes_gerenciaispdf&gt;acesso05deabrilde2019considerandoaafirmacaoacimapodemosafirmarque:</v>
      </c>
    </row>
    <row r="86" spans="3:6 16251:16253" x14ac:dyDescent="0.25">
      <c r="C86" s="17">
        <f t="shared" si="5"/>
        <v>85</v>
      </c>
      <c r="D86" t="s">
        <v>179</v>
      </c>
      <c r="E86" t="s">
        <v>180</v>
      </c>
      <c r="F86" s="9"/>
      <c r="XAA86">
        <f t="shared" si="3"/>
        <v>1</v>
      </c>
      <c r="XAB86">
        <f>IF(ISNUMBER(XAA86),_xlfn.RANK.EQ(XAA86,$XAA$2:$XAA$254,0)+COUNTIF($XAA$2:XAA86,XAA86)-1,"")</f>
        <v>85</v>
      </c>
      <c r="XAC86" s="11" t="str">
        <f t="shared" si="4"/>
        <v>tratasedeumacienciacomplexamasquesedominadapodeaumentarvertiginosamenteacapacidadedeprocessamentodecomputadoresquantomaisqubitspelomenosnateoriamaispotenteeocomputadorumchipquanticocom65qubitscomoodaibmtemcapacidadedeprocessar265umnumerocom65zeroscombinacoesaomesmotempoaideiadoscientistasequenofuturoessasmaquinassejamcapazesdefazercalculoscomplexosepermitiravancosnasareasdecriptografiaemachinelearningporexemplofonte:elergibmquerconstruircomputadorquanticode1000qubitsate2023superinteressante2020disponivelem:&lt;https://superabrilcombr/tecnologia/ibmquerconstruircomputadorquanticode1000qubitsate2023/&gt;acessoem:12out2020considerandoessasinformacoeseoconteudoestudadosobresupercomputacaoestacorretoafirmarque:</v>
      </c>
    </row>
    <row r="87" spans="3:6 16251:16253" x14ac:dyDescent="0.25">
      <c r="C87" s="17">
        <f t="shared" si="5"/>
        <v>86</v>
      </c>
      <c r="D87" t="s">
        <v>181</v>
      </c>
      <c r="E87" t="s">
        <v>146</v>
      </c>
      <c r="F87" s="9"/>
      <c r="XAA87">
        <f t="shared" si="3"/>
        <v>1</v>
      </c>
      <c r="XAB87">
        <f>IF(ISNUMBER(XAA87),_xlfn.RANK.EQ(XAA87,$XAA$2:$XAA$254,0)+COUNTIF($XAA$2:XAA87,XAA87)-1,"")</f>
        <v>86</v>
      </c>
      <c r="XAC87" s="11" t="str">
        <f t="shared" si="4"/>
        <v>tresmaquinasbrasileirasentraramparaalistadostop500supercomputadoresdomundo[]osantosdumontpertenceaolaboratorionacionaldecomputacaocientificalnccempetropolisnoriodejaneiroetemcapacidadedeprocessamentototaldeaproximadamente51quatrilhoesdeoperacoesporsegundoem2019recebeuumaatualizacaoaumentandosuacapacidadeemmaisdetresvezesfonte:epocanegociosbrasiltemtresdos500supercomputadoresdomundoepocanegocios2020disponivelem:&lt;https://epocanegociosglobocom/tecnologia/noticia/2020/02/brasiltemtresdos500supercomputadoresdomundohtml?status=500&gt;acessoem:11out2020considerandoessasinformacoeseoconteudoestudadosobresupercomputacaoanaliseasafirmativasaseguir:isupercomputacaodizrespeitoaumsistemadecomputadoresqueecapazdeperformaremumaltoniveloperacional iisupercomputadoressaoutilizadosemoperacoesqueutilizammuitosdadose/ourequeremprocessamentomuitorapido iiisupercomputadoresestaodisponiveisparaoconsumidorfinalqueeoprofissionalemvideogames ivprogramasdemodelagem3ddealtadefinicaoequesimulamplantasdeproducaosaoexemplosquerequeremumsupercomputadoparaperformarestacorretoapenasoqueseafirmaem:</v>
      </c>
    </row>
    <row r="88" spans="3:6 16251:16253" x14ac:dyDescent="0.25">
      <c r="C88" s="17">
        <f t="shared" si="5"/>
        <v>87</v>
      </c>
      <c r="D88" t="s">
        <v>182</v>
      </c>
      <c r="E88" t="s">
        <v>183</v>
      </c>
      <c r="F88" s="9"/>
      <c r="XAA88">
        <f t="shared" si="3"/>
        <v>1</v>
      </c>
      <c r="XAB88">
        <f>IF(ISNUMBER(XAA88),_xlfn.RANK.EQ(XAA88,$XAA$2:$XAA$254,0)+COUNTIF($XAA$2:XAA88,XAA88)-1,"")</f>
        <v>87</v>
      </c>
      <c r="XAC88" s="11" t="str">
        <f t="shared" si="4"/>
        <v>umcenariocomputacionalqueestaseconsolidandocomooambientecomputacionaldofuturoeacomputacaopervasivanestavisaoopodercomputacionalestasempredisponivelseencontraemqualquerlugaratodomomentoeeacessivelcomqualquerdispositivofonte:piresrpredinrmbelussorcaugustinicomunicacaoentrecomponentesdaaplicacaoemambientepervasivoviiiforumdetecnologiasexvseminarioregionaldeinformaticasantoangelobrasil2005considerandoessasinformacoeseoconteudoestudadosobrecomputacaoubiquaepervasivaanaliseosquatroparadigmasdacomputacaopervasivaaseguireassocieoscomsuasrespectivasexplicacoes: 1descentralizacao2diversificacao3conectividade4simplicidade atrocadeinformacoesentrediferentesdispositivosviaredesejaviabluetoothwifiinfravermelhoetc distribuicaoderesponsabilidadesentrediversosdispositivos  autilizacaodosdispositivosdeveserintuitivaeamigavelsemdemandarmuitotempoefocodousuario utilizacaodediferentesdispositivosdestinadosatarefasespecificasagoraassinaleaalternativaqueapresentaasequenciacorreta:</v>
      </c>
    </row>
    <row r="89" spans="3:6 16251:16253" x14ac:dyDescent="0.25">
      <c r="C89" s="17">
        <f t="shared" si="5"/>
        <v>88</v>
      </c>
      <c r="D89" t="s">
        <v>184</v>
      </c>
      <c r="E89" t="s">
        <v>28</v>
      </c>
      <c r="F89" s="9"/>
      <c r="XAA89">
        <f t="shared" si="3"/>
        <v>1</v>
      </c>
      <c r="XAB89">
        <f>IF(ISNUMBER(XAA89),_xlfn.RANK.EQ(XAA89,$XAA$2:$XAA$254,0)+COUNTIF($XAA$2:XAA89,XAA89)-1,"")</f>
        <v>88</v>
      </c>
      <c r="XAC89" s="11" t="str">
        <f t="shared" si="4"/>
        <v>vocepodenaopercebermascompartilhainformacoespessoaisotempotodonainternetaplicativosdecelularcamerasdemonitoramentocarrosinteligentesesensoresempontosdeonibusrecolhemdadosenviamporredesmoveisparaanuvemcruzamasinformacoesechegamaresultadosquepodemmelhoraraqualidadedevidadapopulacaocomootimizarotransportepublicodasuacidadesaoessasacoesqueformamachamadainternetdascoisasfonte:abrilbrandedcontententendaoqueeainternetdascoisasrevistaexame2017disponivelem:&lt;https://examecom/tecnologia/entendaoqueeainternetdascoisas/&gt;acessoem:02ago2020considerandoessasinformacoeseoconteudoestudadosobreinternetdascoisasanaliseasafirmativasaseguirsobreascaracteristicasdessascoisasisaodispositivoseletronicoscapazesdecomunicarementresiiisaopontosdedistribuicaodeinternetiiisaocapazesdeleroambienteemqueestaoivreageminstantaneamentesemarmazenarreacoesanterioresvprecisamdaintervencaohumanaparaagirestacorretoapenasoqueseafirmaem:</v>
      </c>
    </row>
    <row r="90" spans="3:6 16251:16253" x14ac:dyDescent="0.25">
      <c r="C90" s="17">
        <f t="shared" si="5"/>
        <v>89</v>
      </c>
      <c r="D90" t="s">
        <v>185</v>
      </c>
      <c r="E90" t="s">
        <v>186</v>
      </c>
      <c r="F90" s="9"/>
      <c r="XAA90">
        <f t="shared" si="3"/>
        <v>1</v>
      </c>
      <c r="XAB90">
        <f>IF(ISNUMBER(XAA90),_xlfn.RANK.EQ(XAA90,$XAA$2:$XAA$254,0)+COUNTIF($XAA$2:XAA90,XAA90)-1,"")</f>
        <v>89</v>
      </c>
      <c r="XAC90" s="11" t="str">
        <f t="shared" si="4"/>
        <v>ossistemasdeprocessamentotransacionais[]concentramsenoprocessamentodedadosproduzidosportransacoeseoperacoesempresariaisossistemasdeprocessamentodetransacoesregistrameprocessamdadosresultantesdetransacoesempresariaisvendascomprasalteracoesdeestoque[]tambemproduzemumadiversidadedeprodutosdeinformacaoparausointernoeexternodeclaracoesdeclientessalariosdefuncionariosrecibosdevendasetc fonte:upfintroducaoaossistemasdeinformacaonasempresascap1p16disponivelem&lt;http://usuariosupfbr/~ricardo/sig_cap1_apostilapdf&gt;acesso05deabrilconsiderandoessasinformacoeseoconteudoestudadosobreoconceitodesptpodemosafirmarqueessetipodesistemapodeserinseridonosseguintesdepartamentos:</v>
      </c>
    </row>
    <row r="91" spans="3:6 16251:16253" x14ac:dyDescent="0.25">
      <c r="C91" s="17">
        <f t="shared" si="5"/>
        <v>90</v>
      </c>
      <c r="D91" t="s">
        <v>187</v>
      </c>
      <c r="E91" t="s">
        <v>188</v>
      </c>
      <c r="F91" s="9"/>
      <c r="XAA91">
        <f t="shared" si="3"/>
        <v>1</v>
      </c>
      <c r="XAB91">
        <f>IF(ISNUMBER(XAA91),_xlfn.RANK.EQ(XAA91,$XAA$2:$XAA$254,0)+COUNTIF($XAA$2:XAA91,XAA91)-1,"")</f>
        <v>90</v>
      </c>
      <c r="XAC91" s="11" t="str">
        <f t="shared" si="4"/>
        <v>nenhumaorganizacaofuncionasemseuprincipalatoroclienteabuscaporcompreenderoclientesuasnecessidadesdesejoseademandademercadovemsendoumgrandedesafioparaasorganizacoessemnenhumaduvidaousootimizadodosdadospodeserdefatodeterminantesparaavidadonegociocompreendercomooclientesecomportaecomoeleutilizaosprodutoseservicospodemprojetaraempresaparaumformatoativonaproducaodasvendas considerandoessasinformacoeseoconteudoestudadopodemosafirmarqueosseguintessistemasdeinformacaopossibilitamessecontatomaisproximocomoclienteeconsequentementeauxiliamnastomadasdedecisoescomofocoemvendas:</v>
      </c>
    </row>
    <row r="92" spans="3:6 16251:16253" x14ac:dyDescent="0.25">
      <c r="C92" s="17">
        <f t="shared" si="5"/>
        <v>91</v>
      </c>
      <c r="D92" t="s">
        <v>189</v>
      </c>
      <c r="E92" t="s">
        <v>190</v>
      </c>
      <c r="F92" s="9"/>
      <c r="XAA92">
        <f t="shared" si="3"/>
        <v>1</v>
      </c>
      <c r="XAB92">
        <f>IF(ISNUMBER(XAA92),_xlfn.RANK.EQ(XAA92,$XAA$2:$XAA$254,0)+COUNTIF($XAA$2:XAA92,XAA92)-1,"")</f>
        <v>91</v>
      </c>
      <c r="XAC92" s="11" t="str">
        <f t="shared" si="4"/>
        <v>oconceitodecodigosbinariossendoaplicadosamecanicaeeletronicafoidesenvolvidonoseculoxviiiosbinariosforamutilizadosparamediracargadeumacorrenteeletricaesuaintensidadecomopodemosvernodiagramaacimatemos4possibilidadesparadeterminaraintensidadedeumacargaconsiderandoessasinformacoeseoconteudoestudadopodeseafirmarqueonomedoinventordaestruturalogicacitadaacimae:</v>
      </c>
    </row>
    <row r="93" spans="3:6 16251:16253" x14ac:dyDescent="0.25">
      <c r="C93" s="17">
        <f t="shared" si="5"/>
        <v>92</v>
      </c>
      <c r="D93" t="s">
        <v>191</v>
      </c>
      <c r="E93" t="s">
        <v>192</v>
      </c>
      <c r="F93" s="9"/>
      <c r="XAA93">
        <f t="shared" si="3"/>
        <v>1</v>
      </c>
      <c r="XAB93">
        <f>IF(ISNUMBER(XAA93),_xlfn.RANK.EQ(XAA93,$XAA$2:$XAA$254,0)+COUNTIF($XAA$2:XAA93,XAA93)-1,"")</f>
        <v>92</v>
      </c>
      <c r="XAC93" s="11" t="str">
        <f t="shared" si="4"/>
        <v>otermobugeutilizadocorriqueiramentepelosprofissionaisdeinformaticaparadeterminarquealgodeuerradocomosprogramasousistemasaprimeiravezqueessetermofoidocumentadofoiquandouminsetoentrouemumcomputadoremdesenvolvimentoenaopermitiuqueofluxodedadosfosseprocessadoadoutoragracehopperaposminuciosaprocuraencontrouoinsetoedocumentouemseudiarioconsiderandoessasinformacoeseoconteudoestudadopodeseafirmarqueocomputadorqueteveoprimeirobugregistradofoio:</v>
      </c>
    </row>
    <row r="94" spans="3:6 16251:16253" x14ac:dyDescent="0.25">
      <c r="C94" s="17">
        <f t="shared" si="5"/>
        <v>93</v>
      </c>
      <c r="D94" t="s">
        <v>193</v>
      </c>
      <c r="E94" t="s">
        <v>194</v>
      </c>
      <c r="F94" s="9"/>
      <c r="XAA94">
        <f t="shared" si="3"/>
        <v>1</v>
      </c>
      <c r="XAB94">
        <f>IF(ISNUMBER(XAA94),_xlfn.RANK.EQ(XAA94,$XAA$2:$XAA$254,0)+COUNTIF($XAA$2:XAA94,XAA94)-1,"")</f>
        <v>93</v>
      </c>
      <c r="XAC94" s="11" t="str">
        <f t="shared" si="4"/>
        <v>otermopeoplewareeutilizadoparaespecificaraspessoasouusuariosquetrabalhamdiretamentecomoscomputadoresexistemdiversosprofissionaisquetrabalhamdiariamentecomoscomputadoresdentreosusuariosdecomputadoresexisteumemespecificoqueeespecialistaemanalisarjogoseprogramasedescobrirerrosoumelhoriasasereminseridas considerandoessasinformacoeseoconteudoestudadopodeseafirmarqueonomedesseprofissionale:</v>
      </c>
    </row>
    <row r="95" spans="3:6 16251:16253" x14ac:dyDescent="0.25">
      <c r="C95" s="17">
        <f t="shared" si="5"/>
        <v>94</v>
      </c>
      <c r="D95" t="s">
        <v>195</v>
      </c>
      <c r="E95" t="s">
        <v>196</v>
      </c>
      <c r="F95" s="9"/>
      <c r="XAA95">
        <f t="shared" si="3"/>
        <v>1</v>
      </c>
      <c r="XAB95">
        <f>IF(ISNUMBER(XAA95),_xlfn.RANK.EQ(XAA95,$XAA$2:$XAA$254,0)+COUNTIF($XAA$2:XAA95,XAA95)-1,"")</f>
        <v>94</v>
      </c>
      <c r="XAC95" s="11" t="str">
        <f t="shared" si="4"/>
        <v>otransistordesiliciofoiumadasgrandesinvencoesdocampodaeletronicaaideiadesubstituiravalvulaporumtransistorpermitiuadiminuicaodotamanhodoscomputadoresaideiadecriarumarededetransistorestornouoprocessamentodedadosalgomaispraticoemaisassertivo considerandoessasinformacoeseoconteudoestudadopodeseafirmarqueessatecnologiafoicriadajohnbardeenewalterhouserbrattainem1947emassociacaoa:</v>
      </c>
    </row>
    <row r="96" spans="3:6 16251:16253" x14ac:dyDescent="0.25">
      <c r="C96" s="17">
        <f t="shared" si="5"/>
        <v>95</v>
      </c>
      <c r="D96" t="s">
        <v>197</v>
      </c>
      <c r="E96" t="s">
        <v>198</v>
      </c>
      <c r="F96" s="9"/>
      <c r="XAA96">
        <f t="shared" si="3"/>
        <v>1</v>
      </c>
      <c r="XAB96">
        <f>IF(ISNUMBER(XAA96),_xlfn.RANK.EQ(XAA96,$XAA$2:$XAA$254,0)+COUNTIF($XAA$2:XAA96,XAA96)-1,"")</f>
        <v>95</v>
      </c>
      <c r="XAC96" s="11" t="str">
        <f t="shared" si="4"/>
        <v>oscomputadoresdigitaisseguemumaarquiteturaquefoidesenvolvidaemplenasegundaguerramundialporummatematicohungaroessematematicocompreendeuqueaarquiteturaassertivaparaoscomputadoresseriamanterumaunidadedearmazenamentomemoriaumacentraldeprocessamentodedadoscpuedispositivosquepudessementrarcomosdadosesaircomosdadosdispositivose/s essemodelotemsidoutilizadonaconstrucaodetodososcomputadoresdesdeentao considerandoessasinformacoeseoconteudoestudadopodeseafirmarqueonomedessematematicoe:</v>
      </c>
    </row>
    <row r="97" spans="3:6 16251:16253" x14ac:dyDescent="0.25">
      <c r="C97" s="17">
        <f t="shared" si="5"/>
        <v>96</v>
      </c>
      <c r="D97" t="s">
        <v>199</v>
      </c>
      <c r="E97" t="s">
        <v>200</v>
      </c>
      <c r="F97" s="9"/>
      <c r="XAA97">
        <f t="shared" si="3"/>
        <v>1</v>
      </c>
      <c r="XAB97">
        <f>IF(ISNUMBER(XAA97),_xlfn.RANK.EQ(XAA97,$XAA$2:$XAA$254,0)+COUNTIF($XAA$2:XAA97,XAA97)-1,"")</f>
        <v>96</v>
      </c>
      <c r="XAC97" s="11" t="str">
        <f t="shared" si="4"/>
        <v>oscomputadoressaoequipamentoseletronicosquetemcapacidadedeprocessarumgrandevolumededadosetransformaloseminformacaosuacomposicaoeletronicaeformadapordiversosdispositivosfisicosquechamamosdehardwaresjaseusprogramasoupartelogicachamamosdesoftwaresambostrabalhamemconjuntoparaofuncionamentodeumsistemacomputacional considerandoessasinformacoeseoconteudoestudadopodeseafirmarque:</v>
      </c>
    </row>
    <row r="98" spans="3:6 16251:16253" x14ac:dyDescent="0.25">
      <c r="C98" s="17">
        <f t="shared" si="5"/>
        <v>97</v>
      </c>
      <c r="D98" t="s">
        <v>201</v>
      </c>
      <c r="E98" t="s">
        <v>202</v>
      </c>
      <c r="F98" s="9"/>
      <c r="XAA98">
        <f t="shared" si="3"/>
        <v>1</v>
      </c>
      <c r="XAB98">
        <f>IF(ISNUMBER(XAA98),_xlfn.RANK.EQ(XAA98,$XAA$2:$XAA$254,0)+COUNTIF($XAA$2:XAA98,XAA98)-1,"")</f>
        <v>97</v>
      </c>
      <c r="XAC98" s="11" t="str">
        <f t="shared" si="4"/>
        <v>osprincipiosdasegurancadainformacaosaorelacionadosa:iconfidencialidadequeeagarantiadequeapenasusuariosautenticadospossamacessarasinformacoesiiintegridadequeeagarantiadequeainformacaonaoseraalteradaentreatransmissaoearecepcaoiiiautenticidadegarantiadequeosdadossaoautenticosvdisponibilidadegarantiadequeainformacaoestarasempredisponiveleviconformidadegarantiadequeainformacaosegueleiseregulamentosrelacionadosaoseguimentoalemdessesitensonaorepudiofazpartedosprincipiosdasegurancadainformacaoconsiderandoessesdadoseoconteudoestudadopodemosafirmarqueonaorepudiosereferea:</v>
      </c>
    </row>
    <row r="99" spans="3:6 16251:16253" x14ac:dyDescent="0.25">
      <c r="C99" s="17">
        <f t="shared" si="5"/>
        <v>98</v>
      </c>
      <c r="D99" t="s">
        <v>203</v>
      </c>
      <c r="E99" t="s">
        <v>204</v>
      </c>
      <c r="F99" s="9"/>
      <c r="XAA99">
        <f t="shared" si="3"/>
        <v>1</v>
      </c>
      <c r="XAB99">
        <f>IF(ISNUMBER(XAA99),_xlfn.RANK.EQ(XAA99,$XAA$2:$XAA$254,0)+COUNTIF($XAA$2:XAA99,XAA99)-1,"")</f>
        <v>98</v>
      </c>
      <c r="XAC99" s="11" t="str">
        <f t="shared" si="4"/>
        <v>osservicosdainternetchamamcadavezmaisaatencaoatualmentediversossistemasjaestaosendoatreladosainternetoquepermitequeempresasdepequenomedioeatemesmograndeportepossamusufruirdeservicossimplescomorobosdebuscaemailmensageirosinstantaneosouatemesmoapromocaodonegocioatravesdesiteseredessociaisporemnestemeioosservicosquetemganhadodestaquesaoosservicosdenuvemcloud oconceitodecloudcomputingtrazaideiadearmazenardadosemservidoresociosospelomundoatravesdainternetconsiderandoissoeoconteudoestudadopodesedividirosservicosdecloudem3partessaoelas:</v>
      </c>
    </row>
    <row r="100" spans="3:6 16251:16253" x14ac:dyDescent="0.25">
      <c r="C100" s="17">
        <f t="shared" si="5"/>
        <v>99</v>
      </c>
      <c r="D100" t="s">
        <v>205</v>
      </c>
      <c r="E100" t="s">
        <v>206</v>
      </c>
      <c r="F100" s="9"/>
      <c r="XAA100">
        <f t="shared" si="3"/>
        <v>1</v>
      </c>
      <c r="XAB100">
        <f>IF(ISNUMBER(XAA100),_xlfn.RANK.EQ(XAA100,$XAA$2:$XAA$254,0)+COUNTIF($XAA$2:XAA100,XAA100)-1,"")</f>
        <v>99</v>
      </c>
      <c r="XAC100" s="11" t="str">
        <f t="shared" si="4"/>
        <v>ossistemasdeinformacaogerencialusamcomosuaprincipalbaseousodosdadosparageracaoderelatoriosmemorandoeinformacoesentendeseque:osdadosdevemsercompreendidoscomoalgoamaisdoquesimplesmateriaprimadossistemasdeinformacaodevemserentendidoscomorecursosdedadosdevendoseradministradosparabeneficiartodososusuariosfinaisdeumaorganizacao[]fonte:wakuliczgilmarjorgesistemasdeinformacoesgerenciaiscolegiopolitecnicoufsmsantamariars2016disponivelem&lt;http://estudio01projufsmbr/cadernos_cooperativismo/quinta_etapa/arte_sistemas_informacoes_gerenciaispdf&gt;acesso05deabrilde2019considerandoaimportanciadosdadosecompreendendoafuncaodossistemasinformacoesgerenciaispodemosafirmarqueofocodossigssaoas:</v>
      </c>
    </row>
    <row r="101" spans="3:6 16251:16253" x14ac:dyDescent="0.25">
      <c r="C101" s="17">
        <f t="shared" si="5"/>
        <v>100</v>
      </c>
      <c r="D101" t="s">
        <v>207</v>
      </c>
      <c r="E101" t="s">
        <v>208</v>
      </c>
      <c r="F101" s="9"/>
      <c r="XAA101">
        <f t="shared" si="3"/>
        <v>1</v>
      </c>
      <c r="XAB101">
        <f>IF(ISNUMBER(XAA101),_xlfn.RANK.EQ(XAA101,$XAA$2:$XAA$254,0)+COUNTIF($XAA$2:XAA101,XAA101)-1,"")</f>
        <v>100</v>
      </c>
      <c r="XAC101" s="11" t="str">
        <f t="shared" si="4"/>
        <v>ossistemasdeinformacaopodemserclassificadosemnivelhierarquicoenivelorganizacionalquandofocamosnonivelorganizacionalpodemosdestacarosdepartamentosquecompoemumaempresacomousuariosdossistemasaorganizacaotendeaadequarossistemasaosseusprocessosvisandoreduzircustosaumentaroslucrosecontrolarasinformacoessobreocontroledeprocessospodemosafirmarqueumtipodesistemadeinformacaoemaisadequadoparaasoperacoesorganizacionaisderotinadodiaadia considerandoessasinformacoeseoconteudoestudadopodemosafirmarqueestamosfalandodoseguintetipodesistema:</v>
      </c>
    </row>
    <row r="102" spans="3:6 16251:16253" x14ac:dyDescent="0.25">
      <c r="C102" s="17">
        <f t="shared" si="5"/>
        <v>101</v>
      </c>
      <c r="D102" t="s">
        <v>209</v>
      </c>
      <c r="E102" t="s">
        <v>210</v>
      </c>
      <c r="F102" s="9"/>
      <c r="XAA102">
        <f t="shared" si="3"/>
        <v>1</v>
      </c>
      <c r="XAB102">
        <f>IF(ISNUMBER(XAA102),_xlfn.RANK.EQ(XAA102,$XAA$2:$XAA$254,0)+COUNTIF($XAA$2:XAA102,XAA102)-1,"")</f>
        <v>101</v>
      </c>
      <c r="XAC102" s="11" t="str">
        <f t="shared" si="4"/>
        <v>ossistemasdeinformacaosaoferramentasimportantesparaodesenvolvimentodeumaorganizacaoporemasinformacoesgerenciadasprecisamdequalidadeparaseremrelevantesqualificarumainformacaogeralmenteeograndedesafiodossistemasaideiacentralseriaagregarinformacoesrelevanteseregistrarinformacoesquepodemserrelevantesemalgummomentodavidadaempresa dentreascaracteristicasdaqualidadedeinformacaoaseguirpodeseafirmarqueasessenciaissao:</v>
      </c>
    </row>
    <row r="103" spans="3:6 16251:16253" x14ac:dyDescent="0.25">
      <c r="C103" s="17">
        <f t="shared" si="5"/>
        <v>102</v>
      </c>
      <c r="D103" t="s">
        <v>211</v>
      </c>
      <c r="E103" t="s">
        <v>212</v>
      </c>
      <c r="F103" s="9"/>
      <c r="XAA103">
        <f t="shared" si="3"/>
        <v>1</v>
      </c>
      <c r="XAB103">
        <f>IF(ISNUMBER(XAA103),_xlfn.RANK.EQ(XAA103,$XAA$2:$XAA$254,0)+COUNTIF($XAA$2:XAA103,XAA103)-1,"")</f>
        <v>102</v>
      </c>
      <c r="XAC103" s="11" t="str">
        <f t="shared" si="4"/>
        <v>ossistemasdeinformacaoapesardeseremorganismoscomplexoseessenciaisparaasorganizacoesapresentamumtempodevidalimitadosendoqueteoricosobservamossistemasemumciclodevidaqueedivididoempelomenos8fases:concepcaoconstrucaoimplementacoesmaturidadedecliniomanutencaodeclinioemorteconsiderandoessasinformacoeseoconteudoestudadopodemosafirmarsobreafasedemanutencaoque:</v>
      </c>
    </row>
    <row r="104" spans="3:6 16251:16253" x14ac:dyDescent="0.25">
      <c r="C104" s="17">
        <f t="shared" si="5"/>
        <v>103</v>
      </c>
      <c r="D104" t="s">
        <v>213</v>
      </c>
      <c r="E104" t="s">
        <v>214</v>
      </c>
      <c r="F104" s="9"/>
      <c r="XAA104">
        <f t="shared" si="3"/>
        <v>1</v>
      </c>
      <c r="XAB104">
        <f>IF(ISNUMBER(XAA104),_xlfn.RANK.EQ(XAA104,$XAA$2:$XAA$254,0)+COUNTIF($XAA$2:XAA104,XAA104)-1,"")</f>
        <v>103</v>
      </c>
      <c r="XAC104" s="11" t="str">
        <f t="shared" si="4"/>
        <v>ossistemasoperacionaissosaoumconjuntodeprogramasquepossibilitamofuncionamentodoscomputadoressabemosquesuacomposicaodevepossuirumainterfacegraficaparaosusuariosepermitirinstalacaodeaplicativosdriverseprogramastambemenecessarioqueelecrieumdepositoriodearquivosepastasequesejacapazdeenviarereceberdados considerandoessasinformacoeseoconteudoestudadopodeseafirmarqueossistemasquesaoutilizadosporumunicousuarioporvezsaochamadosdesistema:</v>
      </c>
    </row>
    <row r="105" spans="3:6 16251:16253" x14ac:dyDescent="0.25">
      <c r="C105" s="17">
        <f t="shared" si="5"/>
        <v>104</v>
      </c>
      <c r="D105" t="s">
        <v>215</v>
      </c>
      <c r="E105" t="s">
        <v>216</v>
      </c>
      <c r="F105" s="9"/>
      <c r="XAA105">
        <f t="shared" si="3"/>
        <v>1</v>
      </c>
      <c r="XAB105">
        <f>IF(ISNUMBER(XAA105),_xlfn.RANK.EQ(XAA105,$XAA$2:$XAA$254,0)+COUNTIF($XAA$2:XAA105,XAA105)-1,"")</f>
        <v>104</v>
      </c>
      <c r="XAC105" s="11" t="str">
        <f t="shared" si="4"/>
        <v>ossistemasrparoboticprocessautomationpermitemautomatizarprocessoscomerciaisrepetitivosebaseadosemregrasessesprocessospodemserrobotizadosafimdecontinuamenteexecutaremtarefaseassimpoupartempoparaexemplificarorpapodeserusadoparaenviar1000emailspersonalizadoscominformacoesdistintasparadiversosclientesemquestaodesegundosdessaformaosusuariospodemsededicarastarefasdemaiorvalorestrategicoparaonegocio considerandoessaafirmacaoeoconteudoestudadopodemosafirmarque:</v>
      </c>
    </row>
    <row r="106" spans="3:6 16251:16253" x14ac:dyDescent="0.25">
      <c r="C106" s="17">
        <f t="shared" si="5"/>
        <v>105</v>
      </c>
      <c r="D106" t="s">
        <v>217</v>
      </c>
      <c r="E106" t="s">
        <v>218</v>
      </c>
      <c r="F106" s="9"/>
      <c r="XAA106">
        <f t="shared" si="3"/>
        <v>1</v>
      </c>
      <c r="XAB106">
        <f>IF(ISNUMBER(XAA106),_xlfn.RANK.EQ(XAA106,$XAA$2:$XAA$254,0)+COUNTIF($XAA$2:XAA106,XAA106)-1,"")</f>
        <v>105</v>
      </c>
      <c r="XAC106" s="11" t="str">
        <f t="shared" si="4"/>
        <v>ossoftwaressaotodososelementosquefazempartedaprogramacaoequefuncionamdentrodaestruturafisicadocomputadorhardwareassimpodemosentenderquequalquerprogramadecomputadoreumsoftwareapartirdessadefinicaoedosconteudosestudadosselecioneaalternativaqueexplicaqualeacomposicaobasicaemqueumsoftwaregeralmenteeformado</v>
      </c>
    </row>
    <row r="107" spans="3:6 16251:16253" x14ac:dyDescent="0.25">
      <c r="C107" s="17">
        <f t="shared" si="5"/>
        <v>106</v>
      </c>
      <c r="D107" t="s">
        <v>219</v>
      </c>
      <c r="E107" t="s">
        <v>220</v>
      </c>
      <c r="F107" s="9"/>
      <c r="XAA107">
        <f t="shared" si="3"/>
        <v>1</v>
      </c>
      <c r="XAB107">
        <f>IF(ISNUMBER(XAA107),_xlfn.RANK.EQ(XAA107,$XAA$2:$XAA$254,0)+COUNTIF($XAA$2:XAA107,XAA107)-1,"")</f>
        <v>106</v>
      </c>
      <c r="XAC107" s="11" t="str">
        <f t="shared" si="4"/>
        <v>paraacriacaodeprogramasenecessariosintaxelogicadecodigosdeprogramacaoeumprogramaquetransformeasinformacoesdelinguagemhumanaparaaslinguagensdemaquinaessesprogramassaoutilizadosparaaedicaodecodigoseaofinalparaestatransformacao considerandoessasinformacoeseoconteudoestudadopodemosafirmarqueessesprogramasquepermitemacriacaodeoutrosprogramassaochamadosde:</v>
      </c>
    </row>
    <row r="108" spans="3:6 16251:16253" x14ac:dyDescent="0.25">
      <c r="C108" s="17">
        <f t="shared" si="5"/>
        <v>107</v>
      </c>
      <c r="D108" t="s">
        <v>221</v>
      </c>
      <c r="E108" t="s">
        <v>222</v>
      </c>
      <c r="F108" s="9"/>
      <c r="XAA108">
        <f t="shared" si="3"/>
        <v>1</v>
      </c>
      <c r="XAB108">
        <f>IF(ISNUMBER(XAA108),_xlfn.RANK.EQ(XAA108,$XAA$2:$XAA$254,0)+COUNTIF($XAA$2:XAA108,XAA108)-1,"")</f>
        <v>107</v>
      </c>
      <c r="XAC108" s="11" t="str">
        <f t="shared" si="4"/>
        <v>paraestruturarumsistemaquesejarapidoeficienteosprogramadoresutilizamdecodigosdeprogramacaoquevisamalcancarobjetivosutilizandoomenorespacopossiveldememoriadocomputadorparaaslinguagensdeprogramacaodealtonivelpodemosentenderqueesseconceitoeimplicitopoisaqualidadedoprogramavaidependerdaqualidadedeseucodigo considerandoessasinformacoeseoconteudoestudadopodemosafirmarqueaseguintelinguagemedealtonivel:</v>
      </c>
    </row>
    <row r="109" spans="3:6 16251:16253" x14ac:dyDescent="0.25">
      <c r="C109" s="17">
        <f t="shared" si="5"/>
        <v>108</v>
      </c>
      <c r="D109" t="s">
        <v>223</v>
      </c>
      <c r="E109" t="s">
        <v>224</v>
      </c>
      <c r="F109" s="9"/>
      <c r="XAA109">
        <f t="shared" si="3"/>
        <v>1</v>
      </c>
      <c r="XAB109">
        <f>IF(ISNUMBER(XAA109),_xlfn.RANK.EQ(XAA109,$XAA$2:$XAA$254,0)+COUNTIF($XAA$2:XAA109,XAA109)-1,"")</f>
        <v>108</v>
      </c>
      <c r="XAC109" s="11" t="str">
        <f t="shared" si="4"/>
        <v>quandofalamossobreprodutoexisteumsistemaquetemresolvidodiversasquestoesreferentesaqualidadeeaproducaoessesistemamedeociclodevidadosprodutoseacompanhacadaetapadesuavidadesdesuaconcepcaoatesuavendaessessistemasapresentamumasolucaocompletavisandomelhoriascontinuasinovacoesemaximizandoasvendasconsiderandoessasinformacoeseoconteudoestudadopodemosafirmarqueosistemadeinformacaoquetemessascaracteristicaseo:</v>
      </c>
    </row>
    <row r="110" spans="3:6 16251:16253" x14ac:dyDescent="0.25">
      <c r="C110" s="17">
        <f t="shared" si="5"/>
        <v>109</v>
      </c>
      <c r="D110" t="s">
        <v>225</v>
      </c>
      <c r="E110" t="s">
        <v>226</v>
      </c>
      <c r="F110" s="9"/>
      <c r="XAA110">
        <f t="shared" si="3"/>
        <v>1</v>
      </c>
      <c r="XAB110">
        <f>IF(ISNUMBER(XAA110),_xlfn.RANK.EQ(XAA110,$XAA$2:$XAA$254,0)+COUNTIF($XAA$2:XAA110,XAA110)-1,"")</f>
        <v>109</v>
      </c>
      <c r="XAC110" s="11" t="str">
        <f t="shared" si="4"/>
        <v>sabemosqueasestruturastecnologicassaoformadaspor2componentesfundamentais:hardwareesoftwaresaconcepcaodequeohardwaredependedosoftwareeumconceitoantigoquevemsendotrabalhadoaolongodasdecadasentendemosquecadacircuitoeletronicodependedeumprogramanoniveldecodigoparaexecutarcomandosecriarcomponenteschamamosdelinguagemdebaixonivelaslinguagensdeprogramacaoquetemcondicaodeoperarnoniveldohardware considerandoessasinformacoeseoconteudoestudadopodeseafirmarqueaseguintelinguagemedebaixonivel:</v>
      </c>
    </row>
    <row r="111" spans="3:6 16251:16253" x14ac:dyDescent="0.25">
      <c r="C111" s="17">
        <f t="shared" si="5"/>
        <v>110</v>
      </c>
      <c r="D111" t="s">
        <v>227</v>
      </c>
      <c r="E111" t="s">
        <v>228</v>
      </c>
      <c r="F111" s="9"/>
      <c r="XAA111">
        <f t="shared" si="3"/>
        <v>1</v>
      </c>
      <c r="XAB111">
        <f>IF(ISNUMBER(XAA111),_xlfn.RANK.EQ(XAA111,$XAA$2:$XAA$254,0)+COUNTIF($XAA$2:XAA111,XAA111)-1,"")</f>
        <v>110</v>
      </c>
      <c r="XAC111" s="11" t="str">
        <f t="shared" si="4"/>
        <v>sabemosquehardwareeapartefisicadoscomputadorespodemosdividiroshardwaresempelomenos3tipos:dispositivosdeentradadedadosdispositivosdesaidadedadosedispositivosmistososdispositivosdeentradapermitemqueosusuariosentremcomosdadosnocomputadorjaosdispositivosdesaidapermitemqueousuarioretireosdadosprocessadosemformatodeinformacaosobreosdispositivosmistospodemosafirmarqueelestemcapacidadedefazerasduascoisas aseguirconsiderandoessasinformacoeseoconteudoestudadoassinaleaalternativaquecitaodispositivoquetemcaracteristicasdeumdispositivodesaida</v>
      </c>
    </row>
    <row r="112" spans="3:6 16251:16253" x14ac:dyDescent="0.25">
      <c r="C112" s="17">
        <f t="shared" si="5"/>
        <v>111</v>
      </c>
      <c r="D112" t="s">
        <v>229</v>
      </c>
      <c r="E112" t="s">
        <v>230</v>
      </c>
      <c r="F112" s="9"/>
      <c r="XAA112">
        <f t="shared" si="3"/>
        <v>1</v>
      </c>
      <c r="XAB112">
        <f>IF(ISNUMBER(XAA112),_xlfn.RANK.EQ(XAA112,$XAA$2:$XAA$254,0)+COUNTIF($XAA$2:XAA112,XAA112)-1,"")</f>
        <v>111</v>
      </c>
      <c r="XAC112" s="11" t="str">
        <f t="shared" si="4"/>
        <v>sabemosqueocomercionainternettemganhadoumagrandeforcanosultimosanosdentreasfacilidadesqueainternetnostraztemosagarantiadequeosprodutosseraoentreguesdeformarapidaemuitasvezescomprecomaisacessivelalemdeusuarioscomunsasempresastambemtemprocuradofazersuascomprasatravesdesistemasqueatendamsuasdemandasoconceitodebusinesstobusinesb2bpodeganharforcaquandosistemasespecializadosnessemercadosaoutilizados considerandoessasinformacoeseoconteudoestudadopodemosafirmarqueosistemaquetemessascaracteristicaseo:</v>
      </c>
    </row>
    <row r="113" spans="3:6 16251:16253" x14ac:dyDescent="0.25">
      <c r="C113" s="17">
        <f t="shared" si="5"/>
        <v>112</v>
      </c>
      <c r="D113" t="s">
        <v>231</v>
      </c>
      <c r="E113" t="s">
        <v>232</v>
      </c>
      <c r="F113" s="9"/>
      <c r="XAA113">
        <f t="shared" si="3"/>
        <v>1</v>
      </c>
      <c r="XAB113">
        <f>IF(ISNUMBER(XAA113),_xlfn.RANK.EQ(XAA113,$XAA$2:$XAA$254,0)+COUNTIF($XAA$2:XAA113,XAA113)-1,"")</f>
        <v>112</v>
      </c>
      <c r="XAC113" s="11" t="str">
        <f t="shared" si="4"/>
        <v>sistemasdeinformacaosaoprogramasquetemtarefasespecificascompartesinterdependentesquevisamalcancarumobjetivosabemosqueossistemasdeinformacaosaofundamentaisparaosucessodasorganizacoessuacomposicaodependedasnecessidadesdaempresa considerandoessasinformacoeseoconteudoestudadopodemosafirmarqueorecursoprincipalparasecriarumsistemae/sao:</v>
      </c>
    </row>
    <row r="114" spans="3:6 16251:16253" x14ac:dyDescent="0.25">
      <c r="C114" s="17" t="str">
        <f t="shared" si="5"/>
        <v/>
      </c>
      <c r="F114" s="9"/>
      <c r="XAA114" t="str">
        <f t="shared" si="3"/>
        <v/>
      </c>
      <c r="XAB114" t="str">
        <f>IF(ISNUMBER(XAA114),_xlfn.RANK.EQ(XAA114,$XAA$2:$XAA$254,0)+COUNTIF($XAA$2:XAA114,XAA114)-1,"")</f>
        <v/>
      </c>
      <c r="XAC114" s="11" t="str">
        <f t="shared" si="4"/>
        <v/>
      </c>
    </row>
    <row r="115" spans="3:6 16251:16253" x14ac:dyDescent="0.25">
      <c r="C115" s="17" t="str">
        <f t="shared" si="5"/>
        <v/>
      </c>
      <c r="F115" s="9"/>
      <c r="XAA115" t="str">
        <f t="shared" si="3"/>
        <v/>
      </c>
      <c r="XAB115" t="str">
        <f>IF(ISNUMBER(XAA115),_xlfn.RANK.EQ(XAA115,$XAA$2:$XAA$254,0)+COUNTIF($XAA$2:XAA115,XAA115)-1,"")</f>
        <v/>
      </c>
      <c r="XAC115" s="11" t="str">
        <f t="shared" si="4"/>
        <v/>
      </c>
    </row>
    <row r="116" spans="3:6 16251:16253" x14ac:dyDescent="0.25">
      <c r="C116" s="17" t="str">
        <f t="shared" si="5"/>
        <v/>
      </c>
      <c r="F116" s="9"/>
      <c r="XAA116" t="str">
        <f t="shared" si="3"/>
        <v/>
      </c>
      <c r="XAB116" t="str">
        <f>IF(ISNUMBER(XAA116),_xlfn.RANK.EQ(XAA116,$XAA$2:$XAA$254,0)+COUNTIF($XAA$2:XAA116,XAA116)-1,"")</f>
        <v/>
      </c>
      <c r="XAC116" s="11" t="str">
        <f t="shared" si="4"/>
        <v/>
      </c>
    </row>
    <row r="117" spans="3:6 16251:16253" x14ac:dyDescent="0.25">
      <c r="C117" s="17" t="str">
        <f t="shared" si="5"/>
        <v/>
      </c>
      <c r="F117" s="9"/>
      <c r="XAA117" t="str">
        <f t="shared" si="3"/>
        <v/>
      </c>
      <c r="XAB117" t="str">
        <f>IF(ISNUMBER(XAA117),_xlfn.RANK.EQ(XAA117,$XAA$2:$XAA$254,0)+COUNTIF($XAA$2:XAA117,XAA117)-1,"")</f>
        <v/>
      </c>
      <c r="XAC117" s="11" t="str">
        <f t="shared" si="4"/>
        <v/>
      </c>
    </row>
    <row r="118" spans="3:6 16251:16253" x14ac:dyDescent="0.25">
      <c r="C118" s="17" t="str">
        <f t="shared" si="5"/>
        <v/>
      </c>
      <c r="F118" s="9"/>
      <c r="XAA118" t="str">
        <f t="shared" si="3"/>
        <v/>
      </c>
      <c r="XAB118" t="str">
        <f>IF(ISNUMBER(XAA118),_xlfn.RANK.EQ(XAA118,$XAA$2:$XAA$254,0)+COUNTIF($XAA$2:XAA118,XAA118)-1,"")</f>
        <v/>
      </c>
      <c r="XAC118" s="11" t="str">
        <f t="shared" si="4"/>
        <v/>
      </c>
    </row>
    <row r="119" spans="3:6 16251:16253" x14ac:dyDescent="0.25">
      <c r="C119" s="17" t="str">
        <f t="shared" si="5"/>
        <v/>
      </c>
      <c r="F119" s="9"/>
      <c r="XAA119" t="str">
        <f t="shared" si="3"/>
        <v/>
      </c>
      <c r="XAB119" t="str">
        <f>IF(ISNUMBER(XAA119),_xlfn.RANK.EQ(XAA119,$XAA$2:$XAA$254,0)+COUNTIF($XAA$2:XAA119,XAA119)-1,"")</f>
        <v/>
      </c>
      <c r="XAC119" s="11" t="str">
        <f t="shared" si="4"/>
        <v/>
      </c>
    </row>
    <row r="120" spans="3:6 16251:16253" x14ac:dyDescent="0.25">
      <c r="C120" s="17" t="str">
        <f t="shared" si="5"/>
        <v/>
      </c>
      <c r="F120" s="9"/>
      <c r="XAA120" t="str">
        <f t="shared" si="3"/>
        <v/>
      </c>
      <c r="XAB120" t="str">
        <f>IF(ISNUMBER(XAA120),_xlfn.RANK.EQ(XAA120,$XAA$2:$XAA$254,0)+COUNTIF($XAA$2:XAA120,XAA120)-1,"")</f>
        <v/>
      </c>
      <c r="XAC120" s="11" t="str">
        <f t="shared" si="4"/>
        <v/>
      </c>
    </row>
    <row r="121" spans="3:6 16251:16253" x14ac:dyDescent="0.25">
      <c r="C121" s="17" t="str">
        <f t="shared" si="5"/>
        <v/>
      </c>
      <c r="F121" s="9"/>
      <c r="XAA121" t="str">
        <f t="shared" si="3"/>
        <v/>
      </c>
      <c r="XAB121" t="str">
        <f>IF(ISNUMBER(XAA121),_xlfn.RANK.EQ(XAA121,$XAA$2:$XAA$254,0)+COUNTIF($XAA$2:XAA121,XAA121)-1,"")</f>
        <v/>
      </c>
      <c r="XAC121" s="11" t="str">
        <f t="shared" si="4"/>
        <v/>
      </c>
    </row>
    <row r="122" spans="3:6 16251:16253" x14ac:dyDescent="0.25">
      <c r="C122" s="17" t="str">
        <f t="shared" si="5"/>
        <v/>
      </c>
      <c r="F122" s="9"/>
      <c r="XAA122" t="str">
        <f t="shared" si="3"/>
        <v/>
      </c>
      <c r="XAB122" t="str">
        <f>IF(ISNUMBER(XAA122),_xlfn.RANK.EQ(XAA122,$XAA$2:$XAA$254,0)+COUNTIF($XAA$2:XAA122,XAA122)-1,"")</f>
        <v/>
      </c>
      <c r="XAC122" s="11" t="str">
        <f t="shared" si="4"/>
        <v/>
      </c>
    </row>
    <row r="123" spans="3:6 16251:16253" x14ac:dyDescent="0.25">
      <c r="C123" s="17" t="str">
        <f t="shared" si="5"/>
        <v/>
      </c>
      <c r="F123" s="9"/>
      <c r="XAA123" t="str">
        <f t="shared" si="3"/>
        <v/>
      </c>
      <c r="XAB123" t="str">
        <f>IF(ISNUMBER(XAA123),_xlfn.RANK.EQ(XAA123,$XAA$2:$XAA$254,0)+COUNTIF($XAA$2:XAA123,XAA123)-1,"")</f>
        <v/>
      </c>
      <c r="XAC123" s="11" t="str">
        <f t="shared" si="4"/>
        <v/>
      </c>
    </row>
    <row r="124" spans="3:6 16251:16253" x14ac:dyDescent="0.25">
      <c r="C124" s="17" t="str">
        <f t="shared" si="5"/>
        <v/>
      </c>
      <c r="F124" s="9"/>
      <c r="XAA124" t="str">
        <f t="shared" si="3"/>
        <v/>
      </c>
      <c r="XAB124" t="str">
        <f>IF(ISNUMBER(XAA124),_xlfn.RANK.EQ(XAA124,$XAA$2:$XAA$254,0)+COUNTIF($XAA$2:XAA124,XAA124)-1,"")</f>
        <v/>
      </c>
      <c r="XAC124" s="11" t="str">
        <f t="shared" si="4"/>
        <v/>
      </c>
    </row>
    <row r="125" spans="3:6 16251:16253" x14ac:dyDescent="0.25">
      <c r="C125" s="17" t="str">
        <f t="shared" si="5"/>
        <v/>
      </c>
      <c r="F125" s="9"/>
      <c r="XAA125" t="str">
        <f t="shared" si="3"/>
        <v/>
      </c>
      <c r="XAB125" t="str">
        <f>IF(ISNUMBER(XAA125),_xlfn.RANK.EQ(XAA125,$XAA$2:$XAA$254,0)+COUNTIF($XAA$2:XAA125,XAA125)-1,"")</f>
        <v/>
      </c>
      <c r="XAC125" s="11" t="str">
        <f t="shared" si="4"/>
        <v/>
      </c>
    </row>
    <row r="126" spans="3:6 16251:16253" x14ac:dyDescent="0.25">
      <c r="C126" s="17" t="str">
        <f t="shared" si="5"/>
        <v/>
      </c>
      <c r="F126" s="9"/>
      <c r="XAA126" t="str">
        <f t="shared" si="3"/>
        <v/>
      </c>
      <c r="XAB126" t="str">
        <f>IF(ISNUMBER(XAA126),_xlfn.RANK.EQ(XAA126,$XAA$2:$XAA$254,0)+COUNTIF($XAA$2:XAA126,XAA126)-1,"")</f>
        <v/>
      </c>
      <c r="XAC126" s="11" t="str">
        <f t="shared" si="4"/>
        <v/>
      </c>
    </row>
    <row r="127" spans="3:6 16251:16253" x14ac:dyDescent="0.25">
      <c r="C127" s="17" t="str">
        <f t="shared" si="5"/>
        <v/>
      </c>
      <c r="F127" s="9"/>
      <c r="XAA127" t="str">
        <f t="shared" si="3"/>
        <v/>
      </c>
      <c r="XAB127" t="str">
        <f>IF(ISNUMBER(XAA127),_xlfn.RANK.EQ(XAA127,$XAA$2:$XAA$254,0)+COUNTIF($XAA$2:XAA127,XAA127)-1,"")</f>
        <v/>
      </c>
      <c r="XAC127" s="11" t="str">
        <f t="shared" si="4"/>
        <v/>
      </c>
    </row>
    <row r="128" spans="3:6 16251:16253" x14ac:dyDescent="0.25">
      <c r="C128" s="17" t="str">
        <f t="shared" si="5"/>
        <v/>
      </c>
      <c r="F128" s="9"/>
      <c r="XAA128" t="str">
        <f t="shared" ref="XAA128:XAA191" si="6">IF(ISNUMBER(SEARCH($WZS$4,XAC128)),1,"")</f>
        <v/>
      </c>
      <c r="XAB128" t="str">
        <f>IF(ISNUMBER(XAA128),_xlfn.RANK.EQ(XAA128,$XAA$2:$XAA$254,0)+COUNTIF($XAA$2:XAA128,XAA128)-1,"")</f>
        <v/>
      </c>
      <c r="XAC128" s="11" t="str">
        <f t="shared" ref="XAC128:XAC191" si="7">IF($I$4="S",SUBSTITUTE(D128," ",""),SUBSTITUTE(SUBSTITUTE(SUBSTITUTE(SUBSTITUTE(SUBSTITUTE(SUBSTITUTE(SUBSTITUTE(SUBSTITUTE(SUBSTITUTE(SUBSTITUTE(SUBSTITUTE(SUBSTITUTE(SUBSTITUTE(SUBSTITUTE(SUBSTITUTE(SUBSTITUTE(SUBSTITUTE(SUBSTITUTE(SUBSTITUTE(SUBSTITUTE(SUBSTITUTE(SUBSTITUTE(SUBSTITUTE(SUBSTITUTE(SUBSTITUTE(SUBSTITUTE(SUBSTITUTE(LOWER(D128)," ",""),"ã","a"),"á","a"),"à","a"),"â","a"),"é","e"),"ê","e"),"í","i"),"ó","o"),"õ","o"),"ô","o"),"ú","u"),"ü","u"),"ç","c"),"“",""),"”",""),",",""),";",""),"(",""),")",""),"+",""),"-",""),".",""),"–",""),"‘",""),"’",""),"+","+"))</f>
        <v/>
      </c>
    </row>
    <row r="129" spans="3:6 16251:16253" x14ac:dyDescent="0.25">
      <c r="C129" s="17" t="str">
        <f t="shared" ref="C129:C192" si="8">XAB129</f>
        <v/>
      </c>
      <c r="F129" s="9"/>
      <c r="XAA129" t="str">
        <f t="shared" si="6"/>
        <v/>
      </c>
      <c r="XAB129" t="str">
        <f>IF(ISNUMBER(XAA129),_xlfn.RANK.EQ(XAA129,$XAA$2:$XAA$254,0)+COUNTIF($XAA$2:XAA129,XAA129)-1,"")</f>
        <v/>
      </c>
      <c r="XAC129" s="11" t="str">
        <f t="shared" si="7"/>
        <v/>
      </c>
    </row>
    <row r="130" spans="3:6 16251:16253" x14ac:dyDescent="0.25">
      <c r="C130" s="17" t="str">
        <f t="shared" si="8"/>
        <v/>
      </c>
      <c r="F130" s="9"/>
      <c r="XAA130" t="str">
        <f t="shared" si="6"/>
        <v/>
      </c>
      <c r="XAB130" t="str">
        <f>IF(ISNUMBER(XAA130),_xlfn.RANK.EQ(XAA130,$XAA$2:$XAA$254,0)+COUNTIF($XAA$2:XAA130,XAA130)-1,"")</f>
        <v/>
      </c>
      <c r="XAC130" s="11" t="str">
        <f t="shared" si="7"/>
        <v/>
      </c>
    </row>
    <row r="131" spans="3:6 16251:16253" x14ac:dyDescent="0.25">
      <c r="C131" s="17" t="str">
        <f t="shared" si="8"/>
        <v/>
      </c>
      <c r="F131" s="9"/>
      <c r="XAA131" t="str">
        <f t="shared" si="6"/>
        <v/>
      </c>
      <c r="XAB131" t="str">
        <f>IF(ISNUMBER(XAA131),_xlfn.RANK.EQ(XAA131,$XAA$2:$XAA$254,0)+COUNTIF($XAA$2:XAA131,XAA131)-1,"")</f>
        <v/>
      </c>
      <c r="XAC131" s="11" t="str">
        <f t="shared" si="7"/>
        <v/>
      </c>
    </row>
    <row r="132" spans="3:6 16251:16253" x14ac:dyDescent="0.25">
      <c r="C132" s="17" t="str">
        <f t="shared" si="8"/>
        <v/>
      </c>
      <c r="F132" s="9"/>
      <c r="XAA132" t="str">
        <f t="shared" si="6"/>
        <v/>
      </c>
      <c r="XAB132" t="str">
        <f>IF(ISNUMBER(XAA132),_xlfn.RANK.EQ(XAA132,$XAA$2:$XAA$254,0)+COUNTIF($XAA$2:XAA132,XAA132)-1,"")</f>
        <v/>
      </c>
      <c r="XAC132" s="11" t="str">
        <f t="shared" si="7"/>
        <v/>
      </c>
    </row>
    <row r="133" spans="3:6 16251:16253" x14ac:dyDescent="0.25">
      <c r="C133" s="17" t="str">
        <f t="shared" si="8"/>
        <v/>
      </c>
      <c r="F133" s="9"/>
      <c r="XAA133" t="str">
        <f t="shared" si="6"/>
        <v/>
      </c>
      <c r="XAB133" t="str">
        <f>IF(ISNUMBER(XAA133),_xlfn.RANK.EQ(XAA133,$XAA$2:$XAA$254,0)+COUNTIF($XAA$2:XAA133,XAA133)-1,"")</f>
        <v/>
      </c>
      <c r="XAC133" s="11" t="str">
        <f t="shared" si="7"/>
        <v/>
      </c>
    </row>
    <row r="134" spans="3:6 16251:16253" x14ac:dyDescent="0.25">
      <c r="C134" s="17" t="str">
        <f t="shared" si="8"/>
        <v/>
      </c>
      <c r="F134" s="9"/>
      <c r="XAA134" t="str">
        <f t="shared" si="6"/>
        <v/>
      </c>
      <c r="XAB134" t="str">
        <f>IF(ISNUMBER(XAA134),_xlfn.RANK.EQ(XAA134,$XAA$2:$XAA$254,0)+COUNTIF($XAA$2:XAA134,XAA134)-1,"")</f>
        <v/>
      </c>
      <c r="XAC134" s="11" t="str">
        <f t="shared" si="7"/>
        <v/>
      </c>
    </row>
    <row r="135" spans="3:6 16251:16253" x14ac:dyDescent="0.25">
      <c r="C135" s="17" t="str">
        <f t="shared" si="8"/>
        <v/>
      </c>
      <c r="F135" s="9"/>
      <c r="XAA135" t="str">
        <f t="shared" si="6"/>
        <v/>
      </c>
      <c r="XAB135" t="str">
        <f>IF(ISNUMBER(XAA135),_xlfn.RANK.EQ(XAA135,$XAA$2:$XAA$254,0)+COUNTIF($XAA$2:XAA135,XAA135)-1,"")</f>
        <v/>
      </c>
      <c r="XAC135" s="11" t="str">
        <f t="shared" si="7"/>
        <v/>
      </c>
    </row>
    <row r="136" spans="3:6 16251:16253" x14ac:dyDescent="0.25">
      <c r="C136" s="17" t="str">
        <f t="shared" si="8"/>
        <v/>
      </c>
      <c r="F136" s="9"/>
      <c r="XAA136" t="str">
        <f t="shared" si="6"/>
        <v/>
      </c>
      <c r="XAB136" t="str">
        <f>IF(ISNUMBER(XAA136),_xlfn.RANK.EQ(XAA136,$XAA$2:$XAA$254,0)+COUNTIF($XAA$2:XAA136,XAA136)-1,"")</f>
        <v/>
      </c>
      <c r="XAC136" s="11" t="str">
        <f t="shared" si="7"/>
        <v/>
      </c>
    </row>
    <row r="137" spans="3:6 16251:16253" x14ac:dyDescent="0.25">
      <c r="C137" s="17" t="str">
        <f t="shared" si="8"/>
        <v/>
      </c>
      <c r="F137" s="9"/>
      <c r="XAA137" t="str">
        <f t="shared" si="6"/>
        <v/>
      </c>
      <c r="XAB137" t="str">
        <f>IF(ISNUMBER(XAA137),_xlfn.RANK.EQ(XAA137,$XAA$2:$XAA$254,0)+COUNTIF($XAA$2:XAA137,XAA137)-1,"")</f>
        <v/>
      </c>
      <c r="XAC137" s="11" t="str">
        <f t="shared" si="7"/>
        <v/>
      </c>
    </row>
    <row r="138" spans="3:6 16251:16253" x14ac:dyDescent="0.25">
      <c r="C138" s="17" t="str">
        <f t="shared" si="8"/>
        <v/>
      </c>
      <c r="F138" s="9"/>
      <c r="XAA138" t="str">
        <f t="shared" si="6"/>
        <v/>
      </c>
      <c r="XAB138" t="str">
        <f>IF(ISNUMBER(XAA138),_xlfn.RANK.EQ(XAA138,$XAA$2:$XAA$254,0)+COUNTIF($XAA$2:XAA138,XAA138)-1,"")</f>
        <v/>
      </c>
      <c r="XAC138" s="11" t="str">
        <f t="shared" si="7"/>
        <v/>
      </c>
    </row>
    <row r="139" spans="3:6 16251:16253" x14ac:dyDescent="0.25">
      <c r="C139" s="17" t="str">
        <f t="shared" si="8"/>
        <v/>
      </c>
      <c r="F139" s="9"/>
      <c r="XAA139" t="str">
        <f t="shared" si="6"/>
        <v/>
      </c>
      <c r="XAB139" t="str">
        <f>IF(ISNUMBER(XAA139),_xlfn.RANK.EQ(XAA139,$XAA$2:$XAA$254,0)+COUNTIF($XAA$2:XAA139,XAA139)-1,"")</f>
        <v/>
      </c>
      <c r="XAC139" s="11" t="str">
        <f t="shared" si="7"/>
        <v/>
      </c>
    </row>
    <row r="140" spans="3:6 16251:16253" x14ac:dyDescent="0.25">
      <c r="C140" s="17" t="str">
        <f t="shared" si="8"/>
        <v/>
      </c>
      <c r="F140" s="9"/>
      <c r="XAA140" t="str">
        <f t="shared" si="6"/>
        <v/>
      </c>
      <c r="XAB140" t="str">
        <f>IF(ISNUMBER(XAA140),_xlfn.RANK.EQ(XAA140,$XAA$2:$XAA$254,0)+COUNTIF($XAA$2:XAA140,XAA140)-1,"")</f>
        <v/>
      </c>
      <c r="XAC140" s="11" t="str">
        <f t="shared" si="7"/>
        <v/>
      </c>
    </row>
    <row r="141" spans="3:6 16251:16253" x14ac:dyDescent="0.25">
      <c r="C141" s="17" t="str">
        <f t="shared" si="8"/>
        <v/>
      </c>
      <c r="F141" s="9"/>
      <c r="XAA141" t="str">
        <f t="shared" si="6"/>
        <v/>
      </c>
      <c r="XAB141" t="str">
        <f>IF(ISNUMBER(XAA141),_xlfn.RANK.EQ(XAA141,$XAA$2:$XAA$254,0)+COUNTIF($XAA$2:XAA141,XAA141)-1,"")</f>
        <v/>
      </c>
      <c r="XAC141" s="11" t="str">
        <f t="shared" si="7"/>
        <v/>
      </c>
    </row>
    <row r="142" spans="3:6 16251:16253" x14ac:dyDescent="0.25">
      <c r="C142" s="17" t="str">
        <f t="shared" si="8"/>
        <v/>
      </c>
      <c r="F142" s="9"/>
      <c r="XAA142" t="str">
        <f t="shared" si="6"/>
        <v/>
      </c>
      <c r="XAB142" t="str">
        <f>IF(ISNUMBER(XAA142),_xlfn.RANK.EQ(XAA142,$XAA$2:$XAA$254,0)+COUNTIF($XAA$2:XAA142,XAA142)-1,"")</f>
        <v/>
      </c>
      <c r="XAC142" s="11" t="str">
        <f t="shared" si="7"/>
        <v/>
      </c>
    </row>
    <row r="143" spans="3:6 16251:16253" x14ac:dyDescent="0.25">
      <c r="C143" s="17" t="str">
        <f t="shared" si="8"/>
        <v/>
      </c>
      <c r="F143" s="9"/>
      <c r="XAA143" t="str">
        <f t="shared" si="6"/>
        <v/>
      </c>
      <c r="XAB143" t="str">
        <f>IF(ISNUMBER(XAA143),_xlfn.RANK.EQ(XAA143,$XAA$2:$XAA$254,0)+COUNTIF($XAA$2:XAA143,XAA143)-1,"")</f>
        <v/>
      </c>
      <c r="XAC143" s="11" t="str">
        <f t="shared" si="7"/>
        <v/>
      </c>
    </row>
    <row r="144" spans="3:6 16251:16253" x14ac:dyDescent="0.25">
      <c r="C144" s="17" t="str">
        <f t="shared" si="8"/>
        <v/>
      </c>
      <c r="F144" s="9"/>
      <c r="XAA144" t="str">
        <f t="shared" si="6"/>
        <v/>
      </c>
      <c r="XAB144" t="str">
        <f>IF(ISNUMBER(XAA144),_xlfn.RANK.EQ(XAA144,$XAA$2:$XAA$254,0)+COUNTIF($XAA$2:XAA144,XAA144)-1,"")</f>
        <v/>
      </c>
      <c r="XAC144" s="11" t="str">
        <f t="shared" si="7"/>
        <v/>
      </c>
    </row>
    <row r="145" spans="3:6 16251:16253" x14ac:dyDescent="0.25">
      <c r="C145" s="17" t="str">
        <f t="shared" si="8"/>
        <v/>
      </c>
      <c r="F145" s="9"/>
      <c r="XAA145" t="str">
        <f t="shared" si="6"/>
        <v/>
      </c>
      <c r="XAB145" t="str">
        <f>IF(ISNUMBER(XAA145),_xlfn.RANK.EQ(XAA145,$XAA$2:$XAA$254,0)+COUNTIF($XAA$2:XAA145,XAA145)-1,"")</f>
        <v/>
      </c>
      <c r="XAC145" s="11" t="str">
        <f t="shared" si="7"/>
        <v/>
      </c>
    </row>
    <row r="146" spans="3:6 16251:16253" x14ac:dyDescent="0.25">
      <c r="C146" s="17" t="str">
        <f t="shared" si="8"/>
        <v/>
      </c>
      <c r="F146" s="9"/>
      <c r="XAA146" t="str">
        <f t="shared" si="6"/>
        <v/>
      </c>
      <c r="XAB146" t="str">
        <f>IF(ISNUMBER(XAA146),_xlfn.RANK.EQ(XAA146,$XAA$2:$XAA$254,0)+COUNTIF($XAA$2:XAA146,XAA146)-1,"")</f>
        <v/>
      </c>
      <c r="XAC146" s="11" t="str">
        <f t="shared" si="7"/>
        <v/>
      </c>
    </row>
    <row r="147" spans="3:6 16251:16253" x14ac:dyDescent="0.25">
      <c r="C147" s="17" t="str">
        <f t="shared" si="8"/>
        <v/>
      </c>
      <c r="F147" s="9"/>
      <c r="XAA147" t="str">
        <f t="shared" si="6"/>
        <v/>
      </c>
      <c r="XAB147" t="str">
        <f>IF(ISNUMBER(XAA147),_xlfn.RANK.EQ(XAA147,$XAA$2:$XAA$254,0)+COUNTIF($XAA$2:XAA147,XAA147)-1,"")</f>
        <v/>
      </c>
      <c r="XAC147" s="11" t="str">
        <f t="shared" si="7"/>
        <v/>
      </c>
    </row>
    <row r="148" spans="3:6 16251:16253" x14ac:dyDescent="0.25">
      <c r="C148" s="17" t="str">
        <f t="shared" si="8"/>
        <v/>
      </c>
      <c r="F148" s="9"/>
      <c r="XAA148" t="str">
        <f t="shared" si="6"/>
        <v/>
      </c>
      <c r="XAB148" t="str">
        <f>IF(ISNUMBER(XAA148),_xlfn.RANK.EQ(XAA148,$XAA$2:$XAA$254,0)+COUNTIF($XAA$2:XAA148,XAA148)-1,"")</f>
        <v/>
      </c>
      <c r="XAC148" s="11" t="str">
        <f t="shared" si="7"/>
        <v/>
      </c>
    </row>
    <row r="149" spans="3:6 16251:16253" x14ac:dyDescent="0.25">
      <c r="C149" s="17" t="str">
        <f t="shared" si="8"/>
        <v/>
      </c>
      <c r="F149" s="9"/>
      <c r="XAA149" t="str">
        <f t="shared" si="6"/>
        <v/>
      </c>
      <c r="XAB149" t="str">
        <f>IF(ISNUMBER(XAA149),_xlfn.RANK.EQ(XAA149,$XAA$2:$XAA$254,0)+COUNTIF($XAA$2:XAA149,XAA149)-1,"")</f>
        <v/>
      </c>
      <c r="XAC149" s="11" t="str">
        <f t="shared" si="7"/>
        <v/>
      </c>
    </row>
    <row r="150" spans="3:6 16251:16253" x14ac:dyDescent="0.25">
      <c r="C150" s="17" t="str">
        <f t="shared" si="8"/>
        <v/>
      </c>
      <c r="F150" s="9"/>
      <c r="XAA150" t="str">
        <f t="shared" si="6"/>
        <v/>
      </c>
      <c r="XAB150" t="str">
        <f>IF(ISNUMBER(XAA150),_xlfn.RANK.EQ(XAA150,$XAA$2:$XAA$254,0)+COUNTIF($XAA$2:XAA150,XAA150)-1,"")</f>
        <v/>
      </c>
      <c r="XAC150" s="11" t="str">
        <f t="shared" si="7"/>
        <v/>
      </c>
    </row>
    <row r="151" spans="3:6 16251:16253" x14ac:dyDescent="0.25">
      <c r="C151" s="17" t="str">
        <f t="shared" si="8"/>
        <v/>
      </c>
      <c r="D151" s="38"/>
      <c r="E151" s="38"/>
      <c r="F151" s="9"/>
      <c r="XAA151" t="str">
        <f t="shared" si="6"/>
        <v/>
      </c>
      <c r="XAB151" t="str">
        <f>IF(ISNUMBER(XAA151),_xlfn.RANK.EQ(XAA151,$XAA$2:$XAA$254,0)+COUNTIF($XAA$2:XAA151,XAA151)-1,"")</f>
        <v/>
      </c>
      <c r="XAC151" s="11" t="str">
        <f t="shared" si="7"/>
        <v/>
      </c>
    </row>
    <row r="152" spans="3:6 16251:16253" x14ac:dyDescent="0.25">
      <c r="C152" s="17" t="str">
        <f t="shared" si="8"/>
        <v/>
      </c>
      <c r="D152" s="38"/>
      <c r="E152" s="38"/>
      <c r="F152" s="9"/>
      <c r="XAA152" t="str">
        <f t="shared" si="6"/>
        <v/>
      </c>
      <c r="XAB152" t="str">
        <f>IF(ISNUMBER(XAA152),_xlfn.RANK.EQ(XAA152,$XAA$2:$XAA$254,0)+COUNTIF($XAA$2:XAA152,XAA152)-1,"")</f>
        <v/>
      </c>
      <c r="XAC152" s="11" t="str">
        <f t="shared" si="7"/>
        <v/>
      </c>
    </row>
    <row r="153" spans="3:6 16251:16253" x14ac:dyDescent="0.25">
      <c r="C153" s="17" t="str">
        <f t="shared" si="8"/>
        <v/>
      </c>
      <c r="D153" s="38"/>
      <c r="E153" s="38"/>
      <c r="F153" s="9"/>
      <c r="XAA153" t="str">
        <f t="shared" si="6"/>
        <v/>
      </c>
      <c r="XAB153" t="str">
        <f>IF(ISNUMBER(XAA153),_xlfn.RANK.EQ(XAA153,$XAA$2:$XAA$254,0)+COUNTIF($XAA$2:XAA153,XAA153)-1,"")</f>
        <v/>
      </c>
      <c r="XAC153" s="11" t="str">
        <f t="shared" si="7"/>
        <v/>
      </c>
    </row>
    <row r="154" spans="3:6 16251:16253" x14ac:dyDescent="0.25">
      <c r="C154" s="17" t="str">
        <f t="shared" si="8"/>
        <v/>
      </c>
      <c r="D154" s="38"/>
      <c r="E154" s="38"/>
      <c r="F154" s="9"/>
      <c r="XAA154" t="str">
        <f t="shared" si="6"/>
        <v/>
      </c>
      <c r="XAB154" t="str">
        <f>IF(ISNUMBER(XAA154),_xlfn.RANK.EQ(XAA154,$XAA$2:$XAA$254,0)+COUNTIF($XAA$2:XAA154,XAA154)-1,"")</f>
        <v/>
      </c>
      <c r="XAC154" s="11" t="str">
        <f t="shared" si="7"/>
        <v/>
      </c>
    </row>
    <row r="155" spans="3:6 16251:16253" x14ac:dyDescent="0.25">
      <c r="C155" s="17" t="str">
        <f t="shared" si="8"/>
        <v/>
      </c>
      <c r="D155" s="38"/>
      <c r="E155" s="38"/>
      <c r="F155" s="9"/>
      <c r="XAA155" t="str">
        <f t="shared" si="6"/>
        <v/>
      </c>
      <c r="XAB155" t="str">
        <f>IF(ISNUMBER(XAA155),_xlfn.RANK.EQ(XAA155,$XAA$2:$XAA$254,0)+COUNTIF($XAA$2:XAA155,XAA155)-1,"")</f>
        <v/>
      </c>
      <c r="XAC155" s="11" t="str">
        <f t="shared" si="7"/>
        <v/>
      </c>
    </row>
    <row r="156" spans="3:6 16251:16253" x14ac:dyDescent="0.25">
      <c r="C156" s="17" t="str">
        <f t="shared" si="8"/>
        <v/>
      </c>
      <c r="D156" s="38"/>
      <c r="E156" s="38"/>
      <c r="F156" s="9"/>
      <c r="XAA156" t="str">
        <f t="shared" si="6"/>
        <v/>
      </c>
      <c r="XAB156" t="str">
        <f>IF(ISNUMBER(XAA156),_xlfn.RANK.EQ(XAA156,$XAA$2:$XAA$254,0)+COUNTIF($XAA$2:XAA156,XAA156)-1,"")</f>
        <v/>
      </c>
      <c r="XAC156" s="11" t="str">
        <f t="shared" si="7"/>
        <v/>
      </c>
    </row>
    <row r="157" spans="3:6 16251:16253" x14ac:dyDescent="0.25">
      <c r="C157" s="17" t="str">
        <f t="shared" si="8"/>
        <v/>
      </c>
      <c r="D157" s="38"/>
      <c r="E157" s="38"/>
      <c r="F157" s="9"/>
      <c r="XAA157" t="str">
        <f t="shared" si="6"/>
        <v/>
      </c>
      <c r="XAB157" t="str">
        <f>IF(ISNUMBER(XAA157),_xlfn.RANK.EQ(XAA157,$XAA$2:$XAA$254,0)+COUNTIF($XAA$2:XAA157,XAA157)-1,"")</f>
        <v/>
      </c>
      <c r="XAC157" s="11" t="str">
        <f t="shared" si="7"/>
        <v/>
      </c>
    </row>
    <row r="158" spans="3:6 16251:16253" x14ac:dyDescent="0.25">
      <c r="C158" s="17" t="str">
        <f t="shared" si="8"/>
        <v/>
      </c>
      <c r="D158" s="38"/>
      <c r="E158" s="38"/>
      <c r="F158" s="9"/>
      <c r="XAA158" t="str">
        <f t="shared" si="6"/>
        <v/>
      </c>
      <c r="XAB158" t="str">
        <f>IF(ISNUMBER(XAA158),_xlfn.RANK.EQ(XAA158,$XAA$2:$XAA$254,0)+COUNTIF($XAA$2:XAA158,XAA158)-1,"")</f>
        <v/>
      </c>
      <c r="XAC158" s="11" t="str">
        <f t="shared" si="7"/>
        <v/>
      </c>
    </row>
    <row r="159" spans="3:6 16251:16253" x14ac:dyDescent="0.25">
      <c r="C159" s="17" t="str">
        <f t="shared" si="8"/>
        <v/>
      </c>
      <c r="F159" s="9"/>
      <c r="XAA159" t="str">
        <f t="shared" si="6"/>
        <v/>
      </c>
      <c r="XAB159" t="str">
        <f>IF(ISNUMBER(XAA159),_xlfn.RANK.EQ(XAA159,$XAA$2:$XAA$254,0)+COUNTIF($XAA$2:XAA159,XAA159)-1,"")</f>
        <v/>
      </c>
      <c r="XAC159" s="11" t="str">
        <f t="shared" si="7"/>
        <v/>
      </c>
    </row>
    <row r="160" spans="3:6 16251:16253" x14ac:dyDescent="0.25">
      <c r="C160" s="17" t="str">
        <f t="shared" si="8"/>
        <v/>
      </c>
      <c r="F160" s="9"/>
      <c r="XAA160" t="str">
        <f t="shared" si="6"/>
        <v/>
      </c>
      <c r="XAB160" t="str">
        <f>IF(ISNUMBER(XAA160),_xlfn.RANK.EQ(XAA160,$XAA$2:$XAA$254,0)+COUNTIF($XAA$2:XAA160,XAA160)-1,"")</f>
        <v/>
      </c>
      <c r="XAC160" s="11" t="str">
        <f t="shared" si="7"/>
        <v/>
      </c>
    </row>
    <row r="161" spans="3:6 16251:16253" x14ac:dyDescent="0.25">
      <c r="C161" s="17" t="str">
        <f t="shared" si="8"/>
        <v/>
      </c>
      <c r="F161" s="9"/>
      <c r="XAA161" t="str">
        <f t="shared" si="6"/>
        <v/>
      </c>
      <c r="XAB161" t="str">
        <f>IF(ISNUMBER(XAA161),_xlfn.RANK.EQ(XAA161,$XAA$2:$XAA$254,0)+COUNTIF($XAA$2:XAA161,XAA161)-1,"")</f>
        <v/>
      </c>
      <c r="XAC161" s="11" t="str">
        <f t="shared" si="7"/>
        <v/>
      </c>
    </row>
    <row r="162" spans="3:6 16251:16253" x14ac:dyDescent="0.25">
      <c r="C162" s="17" t="str">
        <f t="shared" si="8"/>
        <v/>
      </c>
      <c r="F162" s="9"/>
      <c r="XAA162" t="str">
        <f t="shared" si="6"/>
        <v/>
      </c>
      <c r="XAB162" t="str">
        <f>IF(ISNUMBER(XAA162),_xlfn.RANK.EQ(XAA162,$XAA$2:$XAA$254,0)+COUNTIF($XAA$2:XAA162,XAA162)-1,"")</f>
        <v/>
      </c>
      <c r="XAC162" s="11" t="str">
        <f t="shared" si="7"/>
        <v/>
      </c>
    </row>
    <row r="163" spans="3:6 16251:16253" x14ac:dyDescent="0.25">
      <c r="C163" s="17" t="str">
        <f t="shared" si="8"/>
        <v/>
      </c>
      <c r="F163" s="9"/>
      <c r="XAA163" t="str">
        <f t="shared" si="6"/>
        <v/>
      </c>
      <c r="XAB163" t="str">
        <f>IF(ISNUMBER(XAA163),_xlfn.RANK.EQ(XAA163,$XAA$2:$XAA$254,0)+COUNTIF($XAA$2:XAA163,XAA163)-1,"")</f>
        <v/>
      </c>
      <c r="XAC163" s="11" t="str">
        <f t="shared" si="7"/>
        <v/>
      </c>
    </row>
    <row r="164" spans="3:6 16251:16253" x14ac:dyDescent="0.25">
      <c r="C164" s="17" t="str">
        <f t="shared" si="8"/>
        <v/>
      </c>
      <c r="F164" s="9"/>
      <c r="XAA164" t="str">
        <f t="shared" si="6"/>
        <v/>
      </c>
      <c r="XAB164" t="str">
        <f>IF(ISNUMBER(XAA164),_xlfn.RANK.EQ(XAA164,$XAA$2:$XAA$254,0)+COUNTIF($XAA$2:XAA164,XAA164)-1,"")</f>
        <v/>
      </c>
      <c r="XAC164" s="11" t="str">
        <f t="shared" si="7"/>
        <v/>
      </c>
    </row>
    <row r="165" spans="3:6 16251:16253" x14ac:dyDescent="0.25">
      <c r="C165" s="17" t="str">
        <f t="shared" si="8"/>
        <v/>
      </c>
      <c r="F165" s="9"/>
      <c r="XAA165" t="str">
        <f t="shared" si="6"/>
        <v/>
      </c>
      <c r="XAB165" t="str">
        <f>IF(ISNUMBER(XAA165),_xlfn.RANK.EQ(XAA165,$XAA$2:$XAA$254,0)+COUNTIF($XAA$2:XAA165,XAA165)-1,"")</f>
        <v/>
      </c>
      <c r="XAC165" s="11" t="str">
        <f t="shared" si="7"/>
        <v/>
      </c>
    </row>
    <row r="166" spans="3:6 16251:16253" x14ac:dyDescent="0.25">
      <c r="C166" s="17" t="str">
        <f t="shared" si="8"/>
        <v/>
      </c>
      <c r="F166" s="9"/>
      <c r="XAA166" t="str">
        <f t="shared" si="6"/>
        <v/>
      </c>
      <c r="XAB166" t="str">
        <f>IF(ISNUMBER(XAA166),_xlfn.RANK.EQ(XAA166,$XAA$2:$XAA$254,0)+COUNTIF($XAA$2:XAA166,XAA166)-1,"")</f>
        <v/>
      </c>
      <c r="XAC166" s="11" t="str">
        <f t="shared" si="7"/>
        <v/>
      </c>
    </row>
    <row r="167" spans="3:6 16251:16253" x14ac:dyDescent="0.25">
      <c r="C167" s="17" t="str">
        <f t="shared" si="8"/>
        <v/>
      </c>
      <c r="F167" s="9"/>
      <c r="XAA167" t="str">
        <f t="shared" si="6"/>
        <v/>
      </c>
      <c r="XAB167" t="str">
        <f>IF(ISNUMBER(XAA167),_xlfn.RANK.EQ(XAA167,$XAA$2:$XAA$254,0)+COUNTIF($XAA$2:XAA167,XAA167)-1,"")</f>
        <v/>
      </c>
      <c r="XAC167" s="11" t="str">
        <f t="shared" si="7"/>
        <v/>
      </c>
    </row>
    <row r="168" spans="3:6 16251:16253" x14ac:dyDescent="0.25">
      <c r="C168" s="17" t="str">
        <f t="shared" si="8"/>
        <v/>
      </c>
      <c r="F168" s="9"/>
      <c r="XAA168" t="str">
        <f t="shared" si="6"/>
        <v/>
      </c>
      <c r="XAB168" t="str">
        <f>IF(ISNUMBER(XAA168),_xlfn.RANK.EQ(XAA168,$XAA$2:$XAA$254,0)+COUNTIF($XAA$2:XAA168,XAA168)-1,"")</f>
        <v/>
      </c>
      <c r="XAC168" s="11" t="str">
        <f t="shared" si="7"/>
        <v/>
      </c>
    </row>
    <row r="169" spans="3:6 16251:16253" x14ac:dyDescent="0.25">
      <c r="C169" s="17" t="str">
        <f t="shared" si="8"/>
        <v/>
      </c>
      <c r="F169" s="9"/>
      <c r="XAA169" t="str">
        <f t="shared" si="6"/>
        <v/>
      </c>
      <c r="XAB169" t="str">
        <f>IF(ISNUMBER(XAA169),_xlfn.RANK.EQ(XAA169,$XAA$2:$XAA$254,0)+COUNTIF($XAA$2:XAA169,XAA169)-1,"")</f>
        <v/>
      </c>
      <c r="XAC169" s="11" t="str">
        <f t="shared" si="7"/>
        <v/>
      </c>
    </row>
    <row r="170" spans="3:6 16251:16253" x14ac:dyDescent="0.25">
      <c r="C170" s="17" t="str">
        <f t="shared" si="8"/>
        <v/>
      </c>
      <c r="F170" s="9"/>
      <c r="XAA170" t="str">
        <f t="shared" si="6"/>
        <v/>
      </c>
      <c r="XAB170" t="str">
        <f>IF(ISNUMBER(XAA170),_xlfn.RANK.EQ(XAA170,$XAA$2:$XAA$254,0)+COUNTIF($XAA$2:XAA170,XAA170)-1,"")</f>
        <v/>
      </c>
      <c r="XAC170" s="11" t="str">
        <f t="shared" si="7"/>
        <v/>
      </c>
    </row>
    <row r="171" spans="3:6 16251:16253" x14ac:dyDescent="0.25">
      <c r="C171" s="17" t="str">
        <f t="shared" si="8"/>
        <v/>
      </c>
      <c r="F171" s="9"/>
      <c r="XAA171" t="str">
        <f t="shared" si="6"/>
        <v/>
      </c>
      <c r="XAB171" t="str">
        <f>IF(ISNUMBER(XAA171),_xlfn.RANK.EQ(XAA171,$XAA$2:$XAA$254,0)+COUNTIF($XAA$2:XAA171,XAA171)-1,"")</f>
        <v/>
      </c>
      <c r="XAC171" s="11" t="str">
        <f t="shared" si="7"/>
        <v/>
      </c>
    </row>
    <row r="172" spans="3:6 16251:16253" x14ac:dyDescent="0.25">
      <c r="C172" s="17" t="str">
        <f t="shared" si="8"/>
        <v/>
      </c>
      <c r="F172" s="9"/>
      <c r="XAA172" t="str">
        <f t="shared" si="6"/>
        <v/>
      </c>
      <c r="XAB172" t="str">
        <f>IF(ISNUMBER(XAA172),_xlfn.RANK.EQ(XAA172,$XAA$2:$XAA$254,0)+COUNTIF($XAA$2:XAA172,XAA172)-1,"")</f>
        <v/>
      </c>
      <c r="XAC172" s="11" t="str">
        <f t="shared" si="7"/>
        <v/>
      </c>
    </row>
    <row r="173" spans="3:6 16251:16253" x14ac:dyDescent="0.25">
      <c r="C173" s="17" t="str">
        <f t="shared" si="8"/>
        <v/>
      </c>
      <c r="F173" s="9"/>
      <c r="XAA173" t="str">
        <f t="shared" si="6"/>
        <v/>
      </c>
      <c r="XAB173" t="str">
        <f>IF(ISNUMBER(XAA173),_xlfn.RANK.EQ(XAA173,$XAA$2:$XAA$254,0)+COUNTIF($XAA$2:XAA173,XAA173)-1,"")</f>
        <v/>
      </c>
      <c r="XAC173" s="11" t="str">
        <f t="shared" si="7"/>
        <v/>
      </c>
    </row>
    <row r="174" spans="3:6 16251:16253" x14ac:dyDescent="0.25">
      <c r="C174" s="17" t="str">
        <f t="shared" si="8"/>
        <v/>
      </c>
      <c r="F174" s="9"/>
      <c r="XAA174" t="str">
        <f t="shared" si="6"/>
        <v/>
      </c>
      <c r="XAB174" t="str">
        <f>IF(ISNUMBER(XAA174),_xlfn.RANK.EQ(XAA174,$XAA$2:$XAA$254,0)+COUNTIF($XAA$2:XAA174,XAA174)-1,"")</f>
        <v/>
      </c>
      <c r="XAC174" s="11" t="str">
        <f t="shared" si="7"/>
        <v/>
      </c>
    </row>
    <row r="175" spans="3:6 16251:16253" x14ac:dyDescent="0.25">
      <c r="C175" s="17" t="str">
        <f t="shared" si="8"/>
        <v/>
      </c>
      <c r="F175" s="9"/>
      <c r="XAA175" t="str">
        <f t="shared" si="6"/>
        <v/>
      </c>
      <c r="XAB175" t="str">
        <f>IF(ISNUMBER(XAA175),_xlfn.RANK.EQ(XAA175,$XAA$2:$XAA$254,0)+COUNTIF($XAA$2:XAA175,XAA175)-1,"")</f>
        <v/>
      </c>
      <c r="XAC175" s="11" t="str">
        <f t="shared" si="7"/>
        <v/>
      </c>
    </row>
    <row r="176" spans="3:6 16251:16253" x14ac:dyDescent="0.25">
      <c r="C176" s="17" t="str">
        <f t="shared" si="8"/>
        <v/>
      </c>
      <c r="F176" s="9"/>
      <c r="XAA176" t="str">
        <f t="shared" si="6"/>
        <v/>
      </c>
      <c r="XAB176" t="str">
        <f>IF(ISNUMBER(XAA176),_xlfn.RANK.EQ(XAA176,$XAA$2:$XAA$254,0)+COUNTIF($XAA$2:XAA176,XAA176)-1,"")</f>
        <v/>
      </c>
      <c r="XAC176" s="11" t="str">
        <f t="shared" si="7"/>
        <v/>
      </c>
    </row>
    <row r="177" spans="3:6 16251:16253" x14ac:dyDescent="0.25">
      <c r="C177" s="17" t="str">
        <f t="shared" si="8"/>
        <v/>
      </c>
      <c r="F177" s="9"/>
      <c r="XAA177" t="str">
        <f t="shared" si="6"/>
        <v/>
      </c>
      <c r="XAB177" t="str">
        <f>IF(ISNUMBER(XAA177),_xlfn.RANK.EQ(XAA177,$XAA$2:$XAA$254,0)+COUNTIF($XAA$2:XAA177,XAA177)-1,"")</f>
        <v/>
      </c>
      <c r="XAC177" s="11" t="str">
        <f t="shared" si="7"/>
        <v/>
      </c>
    </row>
    <row r="178" spans="3:6 16251:16253" x14ac:dyDescent="0.25">
      <c r="C178" s="17" t="str">
        <f t="shared" si="8"/>
        <v/>
      </c>
      <c r="F178" s="9"/>
      <c r="XAA178" t="str">
        <f t="shared" si="6"/>
        <v/>
      </c>
      <c r="XAB178" t="str">
        <f>IF(ISNUMBER(XAA178),_xlfn.RANK.EQ(XAA178,$XAA$2:$XAA$254,0)+COUNTIF($XAA$2:XAA178,XAA178)-1,"")</f>
        <v/>
      </c>
      <c r="XAC178" s="11" t="str">
        <f t="shared" si="7"/>
        <v/>
      </c>
    </row>
    <row r="179" spans="3:6 16251:16253" x14ac:dyDescent="0.25">
      <c r="C179" s="17" t="str">
        <f t="shared" si="8"/>
        <v/>
      </c>
      <c r="F179" s="9"/>
      <c r="XAA179" t="str">
        <f t="shared" si="6"/>
        <v/>
      </c>
      <c r="XAB179" t="str">
        <f>IF(ISNUMBER(XAA179),_xlfn.RANK.EQ(XAA179,$XAA$2:$XAA$254,0)+COUNTIF($XAA$2:XAA179,XAA179)-1,"")</f>
        <v/>
      </c>
      <c r="XAC179" s="11" t="str">
        <f t="shared" si="7"/>
        <v/>
      </c>
    </row>
    <row r="180" spans="3:6 16251:16253" x14ac:dyDescent="0.25">
      <c r="C180" s="17" t="str">
        <f t="shared" si="8"/>
        <v/>
      </c>
      <c r="F180" s="9"/>
      <c r="XAA180" t="str">
        <f t="shared" si="6"/>
        <v/>
      </c>
      <c r="XAB180" t="str">
        <f>IF(ISNUMBER(XAA180),_xlfn.RANK.EQ(XAA180,$XAA$2:$XAA$254,0)+COUNTIF($XAA$2:XAA180,XAA180)-1,"")</f>
        <v/>
      </c>
      <c r="XAC180" s="11" t="str">
        <f t="shared" si="7"/>
        <v/>
      </c>
    </row>
    <row r="181" spans="3:6 16251:16253" x14ac:dyDescent="0.25">
      <c r="C181" s="17" t="str">
        <f t="shared" si="8"/>
        <v/>
      </c>
      <c r="F181" s="9"/>
      <c r="XAA181" t="str">
        <f t="shared" si="6"/>
        <v/>
      </c>
      <c r="XAB181" t="str">
        <f>IF(ISNUMBER(XAA181),_xlfn.RANK.EQ(XAA181,$XAA$2:$XAA$254,0)+COUNTIF($XAA$2:XAA181,XAA181)-1,"")</f>
        <v/>
      </c>
      <c r="XAC181" s="11" t="str">
        <f t="shared" si="7"/>
        <v/>
      </c>
    </row>
    <row r="182" spans="3:6 16251:16253" x14ac:dyDescent="0.25">
      <c r="C182" s="17" t="str">
        <f t="shared" si="8"/>
        <v/>
      </c>
      <c r="F182" s="9"/>
      <c r="XAA182" t="str">
        <f t="shared" si="6"/>
        <v/>
      </c>
      <c r="XAB182" t="str">
        <f>IF(ISNUMBER(XAA182),_xlfn.RANK.EQ(XAA182,$XAA$2:$XAA$254,0)+COUNTIF($XAA$2:XAA182,XAA182)-1,"")</f>
        <v/>
      </c>
      <c r="XAC182" s="11" t="str">
        <f t="shared" si="7"/>
        <v/>
      </c>
    </row>
    <row r="183" spans="3:6 16251:16253" x14ac:dyDescent="0.25">
      <c r="C183" s="17" t="str">
        <f t="shared" si="8"/>
        <v/>
      </c>
      <c r="F183" s="9"/>
      <c r="XAA183" t="str">
        <f t="shared" si="6"/>
        <v/>
      </c>
      <c r="XAB183" t="str">
        <f>IF(ISNUMBER(XAA183),_xlfn.RANK.EQ(XAA183,$XAA$2:$XAA$254,0)+COUNTIF($XAA$2:XAA183,XAA183)-1,"")</f>
        <v/>
      </c>
      <c r="XAC183" s="11" t="str">
        <f t="shared" si="7"/>
        <v/>
      </c>
    </row>
    <row r="184" spans="3:6 16251:16253" x14ac:dyDescent="0.25">
      <c r="C184" s="17" t="str">
        <f t="shared" si="8"/>
        <v/>
      </c>
      <c r="F184" s="9"/>
      <c r="XAA184" t="str">
        <f t="shared" si="6"/>
        <v/>
      </c>
      <c r="XAB184" t="str">
        <f>IF(ISNUMBER(XAA184),_xlfn.RANK.EQ(XAA184,$XAA$2:$XAA$254,0)+COUNTIF($XAA$2:XAA184,XAA184)-1,"")</f>
        <v/>
      </c>
      <c r="XAC184" s="11" t="str">
        <f t="shared" si="7"/>
        <v/>
      </c>
    </row>
    <row r="185" spans="3:6 16251:16253" x14ac:dyDescent="0.25">
      <c r="C185" s="17" t="str">
        <f t="shared" si="8"/>
        <v/>
      </c>
      <c r="F185" s="9"/>
      <c r="XAA185" t="str">
        <f t="shared" si="6"/>
        <v/>
      </c>
      <c r="XAB185" t="str">
        <f>IF(ISNUMBER(XAA185),_xlfn.RANK.EQ(XAA185,$XAA$2:$XAA$254,0)+COUNTIF($XAA$2:XAA185,XAA185)-1,"")</f>
        <v/>
      </c>
      <c r="XAC185" s="11" t="str">
        <f t="shared" si="7"/>
        <v/>
      </c>
    </row>
    <row r="186" spans="3:6 16251:16253" x14ac:dyDescent="0.25">
      <c r="C186" s="17" t="str">
        <f t="shared" si="8"/>
        <v/>
      </c>
      <c r="F186" s="9"/>
      <c r="XAA186" t="str">
        <f t="shared" si="6"/>
        <v/>
      </c>
      <c r="XAB186" t="str">
        <f>IF(ISNUMBER(XAA186),_xlfn.RANK.EQ(XAA186,$XAA$2:$XAA$254,0)+COUNTIF($XAA$2:XAA186,XAA186)-1,"")</f>
        <v/>
      </c>
      <c r="XAC186" s="11" t="str">
        <f t="shared" si="7"/>
        <v/>
      </c>
    </row>
    <row r="187" spans="3:6 16251:16253" x14ac:dyDescent="0.25">
      <c r="C187" s="17" t="str">
        <f t="shared" si="8"/>
        <v/>
      </c>
      <c r="F187" s="9"/>
      <c r="XAA187" t="str">
        <f t="shared" si="6"/>
        <v/>
      </c>
      <c r="XAB187" t="str">
        <f>IF(ISNUMBER(XAA187),_xlfn.RANK.EQ(XAA187,$XAA$2:$XAA$254,0)+COUNTIF($XAA$2:XAA187,XAA187)-1,"")</f>
        <v/>
      </c>
      <c r="XAC187" s="11" t="str">
        <f t="shared" si="7"/>
        <v/>
      </c>
    </row>
    <row r="188" spans="3:6 16251:16253" x14ac:dyDescent="0.25">
      <c r="C188" s="17" t="str">
        <f t="shared" si="8"/>
        <v/>
      </c>
      <c r="F188" s="9"/>
      <c r="XAA188" t="str">
        <f t="shared" si="6"/>
        <v/>
      </c>
      <c r="XAB188" t="str">
        <f>IF(ISNUMBER(XAA188),_xlfn.RANK.EQ(XAA188,$XAA$2:$XAA$254,0)+COUNTIF($XAA$2:XAA188,XAA188)-1,"")</f>
        <v/>
      </c>
      <c r="XAC188" s="11" t="str">
        <f t="shared" si="7"/>
        <v/>
      </c>
    </row>
    <row r="189" spans="3:6 16251:16253" x14ac:dyDescent="0.25">
      <c r="C189" s="17" t="str">
        <f t="shared" si="8"/>
        <v/>
      </c>
      <c r="F189" s="9"/>
      <c r="XAA189" t="str">
        <f t="shared" si="6"/>
        <v/>
      </c>
      <c r="XAB189" t="str">
        <f>IF(ISNUMBER(XAA189),_xlfn.RANK.EQ(XAA189,$XAA$2:$XAA$254,0)+COUNTIF($XAA$2:XAA189,XAA189)-1,"")</f>
        <v/>
      </c>
      <c r="XAC189" s="11" t="str">
        <f t="shared" si="7"/>
        <v/>
      </c>
    </row>
    <row r="190" spans="3:6 16251:16253" x14ac:dyDescent="0.25">
      <c r="C190" s="17" t="str">
        <f t="shared" si="8"/>
        <v/>
      </c>
      <c r="F190" s="9"/>
      <c r="XAA190" t="str">
        <f t="shared" si="6"/>
        <v/>
      </c>
      <c r="XAB190" t="str">
        <f>IF(ISNUMBER(XAA190),_xlfn.RANK.EQ(XAA190,$XAA$2:$XAA$254,0)+COUNTIF($XAA$2:XAA190,XAA190)-1,"")</f>
        <v/>
      </c>
      <c r="XAC190" s="11" t="str">
        <f t="shared" si="7"/>
        <v/>
      </c>
    </row>
    <row r="191" spans="3:6 16251:16253" x14ac:dyDescent="0.25">
      <c r="C191" s="17" t="str">
        <f t="shared" si="8"/>
        <v/>
      </c>
      <c r="F191" s="9"/>
      <c r="XAA191" t="str">
        <f t="shared" si="6"/>
        <v/>
      </c>
      <c r="XAB191" t="str">
        <f>IF(ISNUMBER(XAA191),_xlfn.RANK.EQ(XAA191,$XAA$2:$XAA$254,0)+COUNTIF($XAA$2:XAA191,XAA191)-1,"")</f>
        <v/>
      </c>
      <c r="XAC191" s="11" t="str">
        <f t="shared" si="7"/>
        <v/>
      </c>
    </row>
    <row r="192" spans="3:6 16251:16253" x14ac:dyDescent="0.25">
      <c r="C192" s="17" t="str">
        <f t="shared" si="8"/>
        <v/>
      </c>
      <c r="F192" s="9"/>
      <c r="XAA192" t="str">
        <f t="shared" ref="XAA192:XAA254" si="9">IF(ISNUMBER(SEARCH($WZS$4,XAC192)),1,"")</f>
        <v/>
      </c>
      <c r="XAB192" t="str">
        <f>IF(ISNUMBER(XAA192),_xlfn.RANK.EQ(XAA192,$XAA$2:$XAA$254,0)+COUNTIF($XAA$2:XAA192,XAA192)-1,"")</f>
        <v/>
      </c>
      <c r="XAC192" s="11" t="str">
        <f t="shared" ref="XAC192:XAC254" si="10">IF($I$4="S",SUBSTITUTE(D192," ",""),SUBSTITUTE(SUBSTITUTE(SUBSTITUTE(SUBSTITUTE(SUBSTITUTE(SUBSTITUTE(SUBSTITUTE(SUBSTITUTE(SUBSTITUTE(SUBSTITUTE(SUBSTITUTE(SUBSTITUTE(SUBSTITUTE(SUBSTITUTE(SUBSTITUTE(SUBSTITUTE(SUBSTITUTE(SUBSTITUTE(SUBSTITUTE(SUBSTITUTE(SUBSTITUTE(SUBSTITUTE(SUBSTITUTE(SUBSTITUTE(SUBSTITUTE(SUBSTITUTE(SUBSTITUTE(LOWER(D192)," ",""),"ã","a"),"á","a"),"à","a"),"â","a"),"é","e"),"ê","e"),"í","i"),"ó","o"),"õ","o"),"ô","o"),"ú","u"),"ü","u"),"ç","c"),"“",""),"”",""),",",""),";",""),"(",""),")",""),"+",""),"-",""),".",""),"–",""),"‘",""),"’",""),"+","+"))</f>
        <v/>
      </c>
    </row>
    <row r="193" spans="3:6 16251:16253" x14ac:dyDescent="0.25">
      <c r="C193" s="17" t="str">
        <f t="shared" ref="C193:C254" si="11">XAB193</f>
        <v/>
      </c>
      <c r="F193" s="9"/>
      <c r="XAA193" t="str">
        <f t="shared" si="9"/>
        <v/>
      </c>
      <c r="XAB193" t="str">
        <f>IF(ISNUMBER(XAA193),_xlfn.RANK.EQ(XAA193,$XAA$2:$XAA$254,0)+COUNTIF($XAA$2:XAA193,XAA193)-1,"")</f>
        <v/>
      </c>
      <c r="XAC193" s="11" t="str">
        <f t="shared" si="10"/>
        <v/>
      </c>
    </row>
    <row r="194" spans="3:6 16251:16253" x14ac:dyDescent="0.25">
      <c r="C194" s="17" t="str">
        <f t="shared" si="11"/>
        <v/>
      </c>
      <c r="F194" s="9"/>
      <c r="XAA194" t="str">
        <f t="shared" si="9"/>
        <v/>
      </c>
      <c r="XAB194" t="str">
        <f>IF(ISNUMBER(XAA194),_xlfn.RANK.EQ(XAA194,$XAA$2:$XAA$254,0)+COUNTIF($XAA$2:XAA194,XAA194)-1,"")</f>
        <v/>
      </c>
      <c r="XAC194" s="11" t="str">
        <f t="shared" si="10"/>
        <v/>
      </c>
    </row>
    <row r="195" spans="3:6 16251:16253" x14ac:dyDescent="0.25">
      <c r="C195" s="17" t="str">
        <f t="shared" si="11"/>
        <v/>
      </c>
      <c r="F195" s="9"/>
      <c r="XAA195" t="str">
        <f t="shared" si="9"/>
        <v/>
      </c>
      <c r="XAB195" t="str">
        <f>IF(ISNUMBER(XAA195),_xlfn.RANK.EQ(XAA195,$XAA$2:$XAA$254,0)+COUNTIF($XAA$2:XAA195,XAA195)-1,"")</f>
        <v/>
      </c>
      <c r="XAC195" s="11" t="str">
        <f t="shared" si="10"/>
        <v/>
      </c>
    </row>
    <row r="196" spans="3:6 16251:16253" x14ac:dyDescent="0.25">
      <c r="C196" s="17" t="str">
        <f t="shared" si="11"/>
        <v/>
      </c>
      <c r="F196" s="9"/>
      <c r="XAA196" t="str">
        <f t="shared" si="9"/>
        <v/>
      </c>
      <c r="XAB196" t="str">
        <f>IF(ISNUMBER(XAA196),_xlfn.RANK.EQ(XAA196,$XAA$2:$XAA$254,0)+COUNTIF($XAA$2:XAA196,XAA196)-1,"")</f>
        <v/>
      </c>
      <c r="XAC196" s="11" t="str">
        <f t="shared" si="10"/>
        <v/>
      </c>
    </row>
    <row r="197" spans="3:6 16251:16253" x14ac:dyDescent="0.25">
      <c r="C197" s="17" t="str">
        <f t="shared" si="11"/>
        <v/>
      </c>
      <c r="F197" s="9"/>
      <c r="XAA197" t="str">
        <f t="shared" si="9"/>
        <v/>
      </c>
      <c r="XAB197" t="str">
        <f>IF(ISNUMBER(XAA197),_xlfn.RANK.EQ(XAA197,$XAA$2:$XAA$254,0)+COUNTIF($XAA$2:XAA197,XAA197)-1,"")</f>
        <v/>
      </c>
      <c r="XAC197" s="11" t="str">
        <f t="shared" si="10"/>
        <v/>
      </c>
    </row>
    <row r="198" spans="3:6 16251:16253" x14ac:dyDescent="0.25">
      <c r="C198" s="17" t="str">
        <f t="shared" si="11"/>
        <v/>
      </c>
      <c r="F198" s="9"/>
      <c r="XAA198" t="str">
        <f t="shared" si="9"/>
        <v/>
      </c>
      <c r="XAB198" t="str">
        <f>IF(ISNUMBER(XAA198),_xlfn.RANK.EQ(XAA198,$XAA$2:$XAA$254,0)+COUNTIF($XAA$2:XAA198,XAA198)-1,"")</f>
        <v/>
      </c>
      <c r="XAC198" s="11" t="str">
        <f t="shared" si="10"/>
        <v/>
      </c>
    </row>
    <row r="199" spans="3:6 16251:16253" x14ac:dyDescent="0.25">
      <c r="C199" s="17" t="str">
        <f t="shared" si="11"/>
        <v/>
      </c>
      <c r="F199" s="9"/>
      <c r="XAA199" t="str">
        <f t="shared" si="9"/>
        <v/>
      </c>
      <c r="XAB199" t="str">
        <f>IF(ISNUMBER(XAA199),_xlfn.RANK.EQ(XAA199,$XAA$2:$XAA$254,0)+COUNTIF($XAA$2:XAA199,XAA199)-1,"")</f>
        <v/>
      </c>
      <c r="XAC199" s="11" t="str">
        <f t="shared" si="10"/>
        <v/>
      </c>
    </row>
    <row r="200" spans="3:6 16251:16253" x14ac:dyDescent="0.25">
      <c r="C200" s="17" t="str">
        <f t="shared" si="11"/>
        <v/>
      </c>
      <c r="F200" s="9"/>
      <c r="XAA200" t="str">
        <f t="shared" si="9"/>
        <v/>
      </c>
      <c r="XAB200" t="str">
        <f>IF(ISNUMBER(XAA200),_xlfn.RANK.EQ(XAA200,$XAA$2:$XAA$254,0)+COUNTIF($XAA$2:XAA200,XAA200)-1,"")</f>
        <v/>
      </c>
      <c r="XAC200" s="11" t="str">
        <f t="shared" si="10"/>
        <v/>
      </c>
    </row>
    <row r="201" spans="3:6 16251:16253" x14ac:dyDescent="0.25">
      <c r="C201" s="17" t="str">
        <f t="shared" si="11"/>
        <v/>
      </c>
      <c r="F201" s="9"/>
      <c r="XAA201" t="str">
        <f t="shared" si="9"/>
        <v/>
      </c>
      <c r="XAB201" t="str">
        <f>IF(ISNUMBER(XAA201),_xlfn.RANK.EQ(XAA201,$XAA$2:$XAA$254,0)+COUNTIF($XAA$2:XAA201,XAA201)-1,"")</f>
        <v/>
      </c>
      <c r="XAC201" s="11" t="str">
        <f t="shared" si="10"/>
        <v/>
      </c>
    </row>
    <row r="202" spans="3:6 16251:16253" x14ac:dyDescent="0.25">
      <c r="C202" s="17" t="str">
        <f t="shared" si="11"/>
        <v/>
      </c>
      <c r="F202" s="9"/>
      <c r="XAA202" t="str">
        <f t="shared" si="9"/>
        <v/>
      </c>
      <c r="XAB202" t="str">
        <f>IF(ISNUMBER(XAA202),_xlfn.RANK.EQ(XAA202,$XAA$2:$XAA$254,0)+COUNTIF($XAA$2:XAA202,XAA202)-1,"")</f>
        <v/>
      </c>
      <c r="XAC202" s="11" t="str">
        <f t="shared" si="10"/>
        <v/>
      </c>
    </row>
    <row r="203" spans="3:6 16251:16253" x14ac:dyDescent="0.25">
      <c r="C203" s="17" t="str">
        <f t="shared" si="11"/>
        <v/>
      </c>
      <c r="F203" s="9"/>
      <c r="XAA203" t="str">
        <f t="shared" si="9"/>
        <v/>
      </c>
      <c r="XAB203" t="str">
        <f>IF(ISNUMBER(XAA203),_xlfn.RANK.EQ(XAA203,$XAA$2:$XAA$254,0)+COUNTIF($XAA$2:XAA203,XAA203)-1,"")</f>
        <v/>
      </c>
      <c r="XAC203" s="11" t="str">
        <f t="shared" si="10"/>
        <v/>
      </c>
    </row>
    <row r="204" spans="3:6 16251:16253" x14ac:dyDescent="0.25">
      <c r="C204" s="17" t="str">
        <f t="shared" si="11"/>
        <v/>
      </c>
      <c r="F204" s="9"/>
      <c r="XAA204" t="str">
        <f t="shared" si="9"/>
        <v/>
      </c>
      <c r="XAB204" t="str">
        <f>IF(ISNUMBER(XAA204),_xlfn.RANK.EQ(XAA204,$XAA$2:$XAA$254,0)+COUNTIF($XAA$2:XAA204,XAA204)-1,"")</f>
        <v/>
      </c>
      <c r="XAC204" s="11" t="str">
        <f t="shared" si="10"/>
        <v/>
      </c>
    </row>
    <row r="205" spans="3:6 16251:16253" x14ac:dyDescent="0.25">
      <c r="C205" s="17" t="str">
        <f t="shared" si="11"/>
        <v/>
      </c>
      <c r="F205" s="9"/>
      <c r="XAA205" t="str">
        <f t="shared" si="9"/>
        <v/>
      </c>
      <c r="XAB205" t="str">
        <f>IF(ISNUMBER(XAA205),_xlfn.RANK.EQ(XAA205,$XAA$2:$XAA$254,0)+COUNTIF($XAA$2:XAA205,XAA205)-1,"")</f>
        <v/>
      </c>
      <c r="XAC205" s="11" t="str">
        <f t="shared" si="10"/>
        <v/>
      </c>
    </row>
    <row r="206" spans="3:6 16251:16253" x14ac:dyDescent="0.25">
      <c r="C206" s="17" t="str">
        <f t="shared" si="11"/>
        <v/>
      </c>
      <c r="F206" s="9"/>
      <c r="XAA206" t="str">
        <f t="shared" si="9"/>
        <v/>
      </c>
      <c r="XAB206" t="str">
        <f>IF(ISNUMBER(XAA206),_xlfn.RANK.EQ(XAA206,$XAA$2:$XAA$254,0)+COUNTIF($XAA$2:XAA206,XAA206)-1,"")</f>
        <v/>
      </c>
      <c r="XAC206" s="11" t="str">
        <f t="shared" si="10"/>
        <v/>
      </c>
    </row>
    <row r="207" spans="3:6 16251:16253" x14ac:dyDescent="0.25">
      <c r="C207" s="17" t="str">
        <f t="shared" si="11"/>
        <v/>
      </c>
      <c r="F207" s="9"/>
      <c r="XAA207" t="str">
        <f t="shared" si="9"/>
        <v/>
      </c>
      <c r="XAB207" t="str">
        <f>IF(ISNUMBER(XAA207),_xlfn.RANK.EQ(XAA207,$XAA$2:$XAA$254,0)+COUNTIF($XAA$2:XAA207,XAA207)-1,"")</f>
        <v/>
      </c>
      <c r="XAC207" s="11" t="str">
        <f t="shared" si="10"/>
        <v/>
      </c>
    </row>
    <row r="208" spans="3:6 16251:16253" x14ac:dyDescent="0.25">
      <c r="C208" s="17" t="str">
        <f t="shared" si="11"/>
        <v/>
      </c>
      <c r="F208" s="9"/>
      <c r="XAA208" t="str">
        <f t="shared" si="9"/>
        <v/>
      </c>
      <c r="XAB208" t="str">
        <f>IF(ISNUMBER(XAA208),_xlfn.RANK.EQ(XAA208,$XAA$2:$XAA$254,0)+COUNTIF($XAA$2:XAA208,XAA208)-1,"")</f>
        <v/>
      </c>
      <c r="XAC208" s="11" t="str">
        <f t="shared" si="10"/>
        <v/>
      </c>
    </row>
    <row r="209" spans="3:6 16251:16253" x14ac:dyDescent="0.25">
      <c r="C209" s="17" t="str">
        <f t="shared" si="11"/>
        <v/>
      </c>
      <c r="F209" s="9"/>
      <c r="XAA209" t="str">
        <f t="shared" si="9"/>
        <v/>
      </c>
      <c r="XAB209" t="str">
        <f>IF(ISNUMBER(XAA209),_xlfn.RANK.EQ(XAA209,$XAA$2:$XAA$254,0)+COUNTIF($XAA$2:XAA209,XAA209)-1,"")</f>
        <v/>
      </c>
      <c r="XAC209" s="11" t="str">
        <f t="shared" si="10"/>
        <v/>
      </c>
    </row>
    <row r="210" spans="3:6 16251:16253" x14ac:dyDescent="0.25">
      <c r="C210" s="17" t="str">
        <f t="shared" si="11"/>
        <v/>
      </c>
      <c r="F210" s="9"/>
      <c r="XAA210" t="str">
        <f t="shared" si="9"/>
        <v/>
      </c>
      <c r="XAB210" t="str">
        <f>IF(ISNUMBER(XAA210),_xlfn.RANK.EQ(XAA210,$XAA$2:$XAA$254,0)+COUNTIF($XAA$2:XAA210,XAA210)-1,"")</f>
        <v/>
      </c>
      <c r="XAC210" s="11" t="str">
        <f t="shared" si="10"/>
        <v/>
      </c>
    </row>
    <row r="211" spans="3:6 16251:16253" x14ac:dyDescent="0.25">
      <c r="C211" s="17" t="str">
        <f t="shared" si="11"/>
        <v/>
      </c>
      <c r="F211" s="9"/>
      <c r="XAA211" t="str">
        <f t="shared" si="9"/>
        <v/>
      </c>
      <c r="XAB211" t="str">
        <f>IF(ISNUMBER(XAA211),_xlfn.RANK.EQ(XAA211,$XAA$2:$XAA$254,0)+COUNTIF($XAA$2:XAA211,XAA211)-1,"")</f>
        <v/>
      </c>
      <c r="XAC211" s="11" t="str">
        <f t="shared" si="10"/>
        <v/>
      </c>
    </row>
    <row r="212" spans="3:6 16251:16253" x14ac:dyDescent="0.25">
      <c r="C212" s="17" t="str">
        <f t="shared" si="11"/>
        <v/>
      </c>
      <c r="F212" s="9"/>
      <c r="XAA212" t="str">
        <f t="shared" si="9"/>
        <v/>
      </c>
      <c r="XAB212" t="str">
        <f>IF(ISNUMBER(XAA212),_xlfn.RANK.EQ(XAA212,$XAA$2:$XAA$254,0)+COUNTIF($XAA$2:XAA212,XAA212)-1,"")</f>
        <v/>
      </c>
      <c r="XAC212" s="11" t="str">
        <f t="shared" si="10"/>
        <v/>
      </c>
    </row>
    <row r="213" spans="3:6 16251:16253" x14ac:dyDescent="0.25">
      <c r="C213" s="17" t="str">
        <f t="shared" si="11"/>
        <v/>
      </c>
      <c r="F213" s="9"/>
      <c r="XAA213" t="str">
        <f t="shared" si="9"/>
        <v/>
      </c>
      <c r="XAB213" t="str">
        <f>IF(ISNUMBER(XAA213),_xlfn.RANK.EQ(XAA213,$XAA$2:$XAA$254,0)+COUNTIF($XAA$2:XAA213,XAA213)-1,"")</f>
        <v/>
      </c>
      <c r="XAC213" s="11" t="str">
        <f t="shared" si="10"/>
        <v/>
      </c>
    </row>
    <row r="214" spans="3:6 16251:16253" x14ac:dyDescent="0.25">
      <c r="C214" s="17" t="str">
        <f t="shared" si="11"/>
        <v/>
      </c>
      <c r="F214" s="9"/>
      <c r="XAA214" t="str">
        <f t="shared" si="9"/>
        <v/>
      </c>
      <c r="XAB214" t="str">
        <f>IF(ISNUMBER(XAA214),_xlfn.RANK.EQ(XAA214,$XAA$2:$XAA$254,0)+COUNTIF($XAA$2:XAA214,XAA214)-1,"")</f>
        <v/>
      </c>
      <c r="XAC214" s="11" t="str">
        <f t="shared" si="10"/>
        <v/>
      </c>
    </row>
    <row r="215" spans="3:6 16251:16253" x14ac:dyDescent="0.25">
      <c r="C215" s="17" t="str">
        <f t="shared" si="11"/>
        <v/>
      </c>
      <c r="F215" s="9"/>
      <c r="XAA215" t="str">
        <f t="shared" si="9"/>
        <v/>
      </c>
      <c r="XAB215" t="str">
        <f>IF(ISNUMBER(XAA215),_xlfn.RANK.EQ(XAA215,$XAA$2:$XAA$254,0)+COUNTIF($XAA$2:XAA215,XAA215)-1,"")</f>
        <v/>
      </c>
      <c r="XAC215" s="11" t="str">
        <f t="shared" si="10"/>
        <v/>
      </c>
    </row>
    <row r="216" spans="3:6 16251:16253" x14ac:dyDescent="0.25">
      <c r="C216" s="17" t="str">
        <f t="shared" si="11"/>
        <v/>
      </c>
      <c r="F216" s="9"/>
      <c r="XAA216" t="str">
        <f t="shared" si="9"/>
        <v/>
      </c>
      <c r="XAB216" t="str">
        <f>IF(ISNUMBER(XAA216),_xlfn.RANK.EQ(XAA216,$XAA$2:$XAA$254,0)+COUNTIF($XAA$2:XAA216,XAA216)-1,"")</f>
        <v/>
      </c>
      <c r="XAC216" s="11" t="str">
        <f t="shared" si="10"/>
        <v/>
      </c>
    </row>
    <row r="217" spans="3:6 16251:16253" x14ac:dyDescent="0.25">
      <c r="C217" s="17" t="str">
        <f t="shared" si="11"/>
        <v/>
      </c>
      <c r="F217" s="9"/>
      <c r="XAA217" t="str">
        <f t="shared" si="9"/>
        <v/>
      </c>
      <c r="XAB217" t="str">
        <f>IF(ISNUMBER(XAA217),_xlfn.RANK.EQ(XAA217,$XAA$2:$XAA$254,0)+COUNTIF($XAA$2:XAA217,XAA217)-1,"")</f>
        <v/>
      </c>
      <c r="XAC217" s="11" t="str">
        <f t="shared" si="10"/>
        <v/>
      </c>
    </row>
    <row r="218" spans="3:6 16251:16253" x14ac:dyDescent="0.25">
      <c r="C218" s="17" t="str">
        <f t="shared" si="11"/>
        <v/>
      </c>
      <c r="F218" s="9"/>
      <c r="XAA218" t="str">
        <f t="shared" si="9"/>
        <v/>
      </c>
      <c r="XAB218" t="str">
        <f>IF(ISNUMBER(XAA218),_xlfn.RANK.EQ(XAA218,$XAA$2:$XAA$254,0)+COUNTIF($XAA$2:XAA218,XAA218)-1,"")</f>
        <v/>
      </c>
      <c r="XAC218" s="11" t="str">
        <f t="shared" si="10"/>
        <v/>
      </c>
    </row>
    <row r="219" spans="3:6 16251:16253" x14ac:dyDescent="0.25">
      <c r="C219" s="17" t="str">
        <f t="shared" si="11"/>
        <v/>
      </c>
      <c r="F219" s="9"/>
      <c r="XAA219" t="str">
        <f t="shared" si="9"/>
        <v/>
      </c>
      <c r="XAB219" t="str">
        <f>IF(ISNUMBER(XAA219),_xlfn.RANK.EQ(XAA219,$XAA$2:$XAA$254,0)+COUNTIF($XAA$2:XAA219,XAA219)-1,"")</f>
        <v/>
      </c>
      <c r="XAC219" s="11" t="str">
        <f t="shared" si="10"/>
        <v/>
      </c>
    </row>
    <row r="220" spans="3:6 16251:16253" x14ac:dyDescent="0.25">
      <c r="C220" s="17" t="str">
        <f t="shared" si="11"/>
        <v/>
      </c>
      <c r="F220" s="9"/>
      <c r="XAA220" t="str">
        <f t="shared" si="9"/>
        <v/>
      </c>
      <c r="XAB220" t="str">
        <f>IF(ISNUMBER(XAA220),_xlfn.RANK.EQ(XAA220,$XAA$2:$XAA$254,0)+COUNTIF($XAA$2:XAA220,XAA220)-1,"")</f>
        <v/>
      </c>
      <c r="XAC220" s="11" t="str">
        <f t="shared" si="10"/>
        <v/>
      </c>
    </row>
    <row r="221" spans="3:6 16251:16253" x14ac:dyDescent="0.25">
      <c r="C221" s="17" t="str">
        <f t="shared" si="11"/>
        <v/>
      </c>
      <c r="F221" s="9"/>
      <c r="XAA221" t="str">
        <f t="shared" si="9"/>
        <v/>
      </c>
      <c r="XAB221" t="str">
        <f>IF(ISNUMBER(XAA221),_xlfn.RANK.EQ(XAA221,$XAA$2:$XAA$254,0)+COUNTIF($XAA$2:XAA221,XAA221)-1,"")</f>
        <v/>
      </c>
      <c r="XAC221" s="11" t="str">
        <f t="shared" si="10"/>
        <v/>
      </c>
    </row>
    <row r="222" spans="3:6 16251:16253" x14ac:dyDescent="0.25">
      <c r="C222" s="17" t="str">
        <f t="shared" si="11"/>
        <v/>
      </c>
      <c r="F222" s="9"/>
      <c r="XAA222" t="str">
        <f t="shared" si="9"/>
        <v/>
      </c>
      <c r="XAB222" t="str">
        <f>IF(ISNUMBER(XAA222),_xlfn.RANK.EQ(XAA222,$XAA$2:$XAA$254,0)+COUNTIF($XAA$2:XAA222,XAA222)-1,"")</f>
        <v/>
      </c>
      <c r="XAC222" s="11" t="str">
        <f t="shared" si="10"/>
        <v/>
      </c>
    </row>
    <row r="223" spans="3:6 16251:16253" x14ac:dyDescent="0.25">
      <c r="C223" s="17" t="str">
        <f t="shared" si="11"/>
        <v/>
      </c>
      <c r="F223" s="9"/>
      <c r="XAA223" t="str">
        <f t="shared" si="9"/>
        <v/>
      </c>
      <c r="XAB223" t="str">
        <f>IF(ISNUMBER(XAA223),_xlfn.RANK.EQ(XAA223,$XAA$2:$XAA$254,0)+COUNTIF($XAA$2:XAA223,XAA223)-1,"")</f>
        <v/>
      </c>
      <c r="XAC223" s="11" t="str">
        <f t="shared" si="10"/>
        <v/>
      </c>
    </row>
    <row r="224" spans="3:6 16251:16253" x14ac:dyDescent="0.25">
      <c r="C224" s="17" t="str">
        <f t="shared" si="11"/>
        <v/>
      </c>
      <c r="F224" s="9"/>
      <c r="XAA224" t="str">
        <f t="shared" si="9"/>
        <v/>
      </c>
      <c r="XAB224" t="str">
        <f>IF(ISNUMBER(XAA224),_xlfn.RANK.EQ(XAA224,$XAA$2:$XAA$254,0)+COUNTIF($XAA$2:XAA224,XAA224)-1,"")</f>
        <v/>
      </c>
      <c r="XAC224" s="11" t="str">
        <f t="shared" si="10"/>
        <v/>
      </c>
    </row>
    <row r="225" spans="3:6 16251:16253" x14ac:dyDescent="0.25">
      <c r="C225" s="17" t="str">
        <f t="shared" si="11"/>
        <v/>
      </c>
      <c r="F225" s="9"/>
      <c r="XAA225" t="str">
        <f t="shared" si="9"/>
        <v/>
      </c>
      <c r="XAB225" t="str">
        <f>IF(ISNUMBER(XAA225),_xlfn.RANK.EQ(XAA225,$XAA$2:$XAA$254,0)+COUNTIF($XAA$2:XAA225,XAA225)-1,"")</f>
        <v/>
      </c>
      <c r="XAC225" s="11" t="str">
        <f t="shared" si="10"/>
        <v/>
      </c>
    </row>
    <row r="226" spans="3:6 16251:16253" x14ac:dyDescent="0.25">
      <c r="C226" s="17" t="str">
        <f t="shared" si="11"/>
        <v/>
      </c>
      <c r="F226" s="9"/>
      <c r="XAA226" t="str">
        <f t="shared" si="9"/>
        <v/>
      </c>
      <c r="XAB226" t="str">
        <f>IF(ISNUMBER(XAA226),_xlfn.RANK.EQ(XAA226,$XAA$2:$XAA$254,0)+COUNTIF($XAA$2:XAA226,XAA226)-1,"")</f>
        <v/>
      </c>
      <c r="XAC226" s="11" t="str">
        <f t="shared" si="10"/>
        <v/>
      </c>
    </row>
    <row r="227" spans="3:6 16251:16253" x14ac:dyDescent="0.25">
      <c r="C227" s="17" t="str">
        <f t="shared" si="11"/>
        <v/>
      </c>
      <c r="F227" s="9"/>
      <c r="XAA227" t="str">
        <f t="shared" si="9"/>
        <v/>
      </c>
      <c r="XAB227" t="str">
        <f>IF(ISNUMBER(XAA227),_xlfn.RANK.EQ(XAA227,$XAA$2:$XAA$254,0)+COUNTIF($XAA$2:XAA227,XAA227)-1,"")</f>
        <v/>
      </c>
      <c r="XAC227" s="11" t="str">
        <f t="shared" si="10"/>
        <v/>
      </c>
    </row>
    <row r="228" spans="3:6 16251:16253" x14ac:dyDescent="0.25">
      <c r="C228" s="17" t="str">
        <f t="shared" si="11"/>
        <v/>
      </c>
      <c r="F228" s="9"/>
      <c r="XAA228" t="str">
        <f t="shared" si="9"/>
        <v/>
      </c>
      <c r="XAB228" t="str">
        <f>IF(ISNUMBER(XAA228),_xlfn.RANK.EQ(XAA228,$XAA$2:$XAA$254,0)+COUNTIF($XAA$2:XAA228,XAA228)-1,"")</f>
        <v/>
      </c>
      <c r="XAC228" s="11" t="str">
        <f t="shared" si="10"/>
        <v/>
      </c>
    </row>
    <row r="229" spans="3:6 16251:16253" x14ac:dyDescent="0.25">
      <c r="C229" s="17" t="str">
        <f t="shared" si="11"/>
        <v/>
      </c>
      <c r="F229" s="9"/>
      <c r="XAA229" t="str">
        <f t="shared" si="9"/>
        <v/>
      </c>
      <c r="XAB229" t="str">
        <f>IF(ISNUMBER(XAA229),_xlfn.RANK.EQ(XAA229,$XAA$2:$XAA$254,0)+COUNTIF($XAA$2:XAA229,XAA229)-1,"")</f>
        <v/>
      </c>
      <c r="XAC229" s="11" t="str">
        <f t="shared" si="10"/>
        <v/>
      </c>
    </row>
    <row r="230" spans="3:6 16251:16253" x14ac:dyDescent="0.25">
      <c r="C230" s="17" t="str">
        <f t="shared" si="11"/>
        <v/>
      </c>
      <c r="F230" s="9"/>
      <c r="XAA230" t="str">
        <f t="shared" si="9"/>
        <v/>
      </c>
      <c r="XAB230" t="str">
        <f>IF(ISNUMBER(XAA230),_xlfn.RANK.EQ(XAA230,$XAA$2:$XAA$254,0)+COUNTIF($XAA$2:XAA230,XAA230)-1,"")</f>
        <v/>
      </c>
      <c r="XAC230" s="11" t="str">
        <f t="shared" si="10"/>
        <v/>
      </c>
    </row>
    <row r="231" spans="3:6 16251:16253" x14ac:dyDescent="0.25">
      <c r="C231" s="17" t="str">
        <f t="shared" si="11"/>
        <v/>
      </c>
      <c r="F231" s="9"/>
      <c r="XAA231" t="str">
        <f t="shared" si="9"/>
        <v/>
      </c>
      <c r="XAB231" t="str">
        <f>IF(ISNUMBER(XAA231),_xlfn.RANK.EQ(XAA231,$XAA$2:$XAA$254,0)+COUNTIF($XAA$2:XAA231,XAA231)-1,"")</f>
        <v/>
      </c>
      <c r="XAC231" s="11" t="str">
        <f t="shared" si="10"/>
        <v/>
      </c>
    </row>
    <row r="232" spans="3:6 16251:16253" x14ac:dyDescent="0.25">
      <c r="C232" s="17" t="str">
        <f t="shared" si="11"/>
        <v/>
      </c>
      <c r="F232" s="9"/>
      <c r="XAA232" t="str">
        <f t="shared" si="9"/>
        <v/>
      </c>
      <c r="XAB232" t="str">
        <f>IF(ISNUMBER(XAA232),_xlfn.RANK.EQ(XAA232,$XAA$2:$XAA$254,0)+COUNTIF($XAA$2:XAA232,XAA232)-1,"")</f>
        <v/>
      </c>
      <c r="XAC232" s="11" t="str">
        <f t="shared" si="10"/>
        <v/>
      </c>
    </row>
    <row r="233" spans="3:6 16251:16253" x14ac:dyDescent="0.25">
      <c r="C233" s="17" t="str">
        <f t="shared" si="11"/>
        <v/>
      </c>
      <c r="F233" s="9"/>
      <c r="XAA233" t="str">
        <f t="shared" si="9"/>
        <v/>
      </c>
      <c r="XAB233" t="str">
        <f>IF(ISNUMBER(XAA233),_xlfn.RANK.EQ(XAA233,$XAA$2:$XAA$254,0)+COUNTIF($XAA$2:XAA233,XAA233)-1,"")</f>
        <v/>
      </c>
      <c r="XAC233" s="11" t="str">
        <f t="shared" si="10"/>
        <v/>
      </c>
    </row>
    <row r="234" spans="3:6 16251:16253" x14ac:dyDescent="0.25">
      <c r="C234" s="17" t="str">
        <f t="shared" si="11"/>
        <v/>
      </c>
      <c r="F234" s="9"/>
      <c r="XAA234" t="str">
        <f t="shared" si="9"/>
        <v/>
      </c>
      <c r="XAB234" t="str">
        <f>IF(ISNUMBER(XAA234),_xlfn.RANK.EQ(XAA234,$XAA$2:$XAA$254,0)+COUNTIF($XAA$2:XAA234,XAA234)-1,"")</f>
        <v/>
      </c>
      <c r="XAC234" s="11" t="str">
        <f t="shared" si="10"/>
        <v/>
      </c>
    </row>
    <row r="235" spans="3:6 16251:16253" x14ac:dyDescent="0.25">
      <c r="C235" s="17" t="str">
        <f t="shared" si="11"/>
        <v/>
      </c>
      <c r="F235" s="9"/>
      <c r="XAA235" t="str">
        <f t="shared" si="9"/>
        <v/>
      </c>
      <c r="XAB235" t="str">
        <f>IF(ISNUMBER(XAA235),_xlfn.RANK.EQ(XAA235,$XAA$2:$XAA$254,0)+COUNTIF($XAA$2:XAA235,XAA235)-1,"")</f>
        <v/>
      </c>
      <c r="XAC235" s="11" t="str">
        <f t="shared" si="10"/>
        <v/>
      </c>
    </row>
    <row r="236" spans="3:6 16251:16253" x14ac:dyDescent="0.25">
      <c r="C236" s="17" t="str">
        <f t="shared" si="11"/>
        <v/>
      </c>
      <c r="F236" s="9"/>
      <c r="XAA236" t="str">
        <f t="shared" si="9"/>
        <v/>
      </c>
      <c r="XAB236" t="str">
        <f>IF(ISNUMBER(XAA236),_xlfn.RANK.EQ(XAA236,$XAA$2:$XAA$254,0)+COUNTIF($XAA$2:XAA236,XAA236)-1,"")</f>
        <v/>
      </c>
      <c r="XAC236" s="11" t="str">
        <f t="shared" si="10"/>
        <v/>
      </c>
    </row>
    <row r="237" spans="3:6 16251:16253" x14ac:dyDescent="0.25">
      <c r="C237" s="17" t="str">
        <f t="shared" si="11"/>
        <v/>
      </c>
      <c r="F237" s="9"/>
      <c r="XAA237" t="str">
        <f t="shared" si="9"/>
        <v/>
      </c>
      <c r="XAB237" t="str">
        <f>IF(ISNUMBER(XAA237),_xlfn.RANK.EQ(XAA237,$XAA$2:$XAA$254,0)+COUNTIF($XAA$2:XAA237,XAA237)-1,"")</f>
        <v/>
      </c>
      <c r="XAC237" s="11" t="str">
        <f t="shared" si="10"/>
        <v/>
      </c>
    </row>
    <row r="238" spans="3:6 16251:16253" x14ac:dyDescent="0.25">
      <c r="C238" s="17" t="str">
        <f t="shared" si="11"/>
        <v/>
      </c>
      <c r="F238" s="9"/>
      <c r="XAA238" t="str">
        <f t="shared" si="9"/>
        <v/>
      </c>
      <c r="XAB238" t="str">
        <f>IF(ISNUMBER(XAA238),_xlfn.RANK.EQ(XAA238,$XAA$2:$XAA$254,0)+COUNTIF($XAA$2:XAA238,XAA238)-1,"")</f>
        <v/>
      </c>
      <c r="XAC238" s="11" t="str">
        <f t="shared" si="10"/>
        <v/>
      </c>
    </row>
    <row r="239" spans="3:6 16251:16253" x14ac:dyDescent="0.25">
      <c r="C239" s="17" t="str">
        <f t="shared" si="11"/>
        <v/>
      </c>
      <c r="F239" s="9"/>
      <c r="XAA239" t="str">
        <f t="shared" si="9"/>
        <v/>
      </c>
      <c r="XAB239" t="str">
        <f>IF(ISNUMBER(XAA239),_xlfn.RANK.EQ(XAA239,$XAA$2:$XAA$254,0)+COUNTIF($XAA$2:XAA239,XAA239)-1,"")</f>
        <v/>
      </c>
      <c r="XAC239" s="11" t="str">
        <f t="shared" si="10"/>
        <v/>
      </c>
    </row>
    <row r="240" spans="3:6 16251:16253" x14ac:dyDescent="0.25">
      <c r="C240" s="17" t="str">
        <f t="shared" si="11"/>
        <v/>
      </c>
      <c r="F240" s="9"/>
      <c r="XAA240" t="str">
        <f t="shared" si="9"/>
        <v/>
      </c>
      <c r="XAB240" t="str">
        <f>IF(ISNUMBER(XAA240),_xlfn.RANK.EQ(XAA240,$XAA$2:$XAA$254,0)+COUNTIF($XAA$2:XAA240,XAA240)-1,"")</f>
        <v/>
      </c>
      <c r="XAC240" s="11" t="str">
        <f t="shared" si="10"/>
        <v/>
      </c>
    </row>
    <row r="241" spans="3:6 16251:16253" x14ac:dyDescent="0.25">
      <c r="C241" s="17" t="str">
        <f t="shared" si="11"/>
        <v/>
      </c>
      <c r="D241" s="37"/>
      <c r="E241" s="37"/>
      <c r="F241" s="9"/>
      <c r="XAA241" t="str">
        <f t="shared" si="9"/>
        <v/>
      </c>
      <c r="XAB241" t="str">
        <f>IF(ISNUMBER(XAA241),_xlfn.RANK.EQ(XAA241,$XAA$2:$XAA$254,0)+COUNTIF($XAA$2:XAA241,XAA241)-1,"")</f>
        <v/>
      </c>
      <c r="XAC241" s="11" t="str">
        <f t="shared" si="10"/>
        <v/>
      </c>
    </row>
    <row r="242" spans="3:6 16251:16253" x14ac:dyDescent="0.25">
      <c r="C242" s="17" t="str">
        <f t="shared" si="11"/>
        <v/>
      </c>
      <c r="D242" s="37"/>
      <c r="E242" s="37"/>
      <c r="F242" s="9"/>
      <c r="XAA242" t="str">
        <f t="shared" si="9"/>
        <v/>
      </c>
      <c r="XAB242" t="str">
        <f>IF(ISNUMBER(XAA242),_xlfn.RANK.EQ(XAA242,$XAA$2:$XAA$254,0)+COUNTIF($XAA$2:XAA242,XAA242)-1,"")</f>
        <v/>
      </c>
      <c r="XAC242" s="11" t="str">
        <f t="shared" si="10"/>
        <v/>
      </c>
    </row>
    <row r="243" spans="3:6 16251:16253" x14ac:dyDescent="0.25">
      <c r="C243" s="17" t="str">
        <f t="shared" si="11"/>
        <v/>
      </c>
      <c r="D243" s="3"/>
      <c r="E243" s="6"/>
      <c r="F243" s="9"/>
      <c r="XAA243" t="str">
        <f t="shared" si="9"/>
        <v/>
      </c>
      <c r="XAB243" t="str">
        <f>IF(ISNUMBER(XAA243),_xlfn.RANK.EQ(XAA243,$XAA$2:$XAA$254,0)+COUNTIF($XAA$2:XAA243,XAA243)-1,"")</f>
        <v/>
      </c>
      <c r="XAC243" s="11" t="str">
        <f t="shared" si="10"/>
        <v/>
      </c>
    </row>
    <row r="244" spans="3:6 16251:16253" x14ac:dyDescent="0.25">
      <c r="C244" s="17" t="str">
        <f t="shared" si="11"/>
        <v/>
      </c>
      <c r="D244" s="3"/>
      <c r="E244" s="6"/>
      <c r="F244" s="9"/>
      <c r="XAA244" t="str">
        <f t="shared" si="9"/>
        <v/>
      </c>
      <c r="XAB244" t="str">
        <f>IF(ISNUMBER(XAA244),_xlfn.RANK.EQ(XAA244,$XAA$2:$XAA$254,0)+COUNTIF($XAA$2:XAA244,XAA244)-1,"")</f>
        <v/>
      </c>
      <c r="XAC244" s="11" t="str">
        <f t="shared" si="10"/>
        <v/>
      </c>
    </row>
    <row r="245" spans="3:6 16251:16253" x14ac:dyDescent="0.25">
      <c r="C245" s="17" t="str">
        <f t="shared" si="11"/>
        <v/>
      </c>
      <c r="D245" s="3"/>
      <c r="E245" s="6"/>
      <c r="F245" s="9"/>
      <c r="XAA245" t="str">
        <f t="shared" si="9"/>
        <v/>
      </c>
      <c r="XAB245" t="str">
        <f>IF(ISNUMBER(XAA245),_xlfn.RANK.EQ(XAA245,$XAA$2:$XAA$254,0)+COUNTIF($XAA$2:XAA245,XAA245)-1,"")</f>
        <v/>
      </c>
      <c r="XAC245" s="11" t="str">
        <f t="shared" si="10"/>
        <v/>
      </c>
    </row>
    <row r="246" spans="3:6 16251:16253" x14ac:dyDescent="0.25">
      <c r="C246" s="17" t="str">
        <f t="shared" si="11"/>
        <v/>
      </c>
      <c r="D246" s="3"/>
      <c r="E246" s="6"/>
      <c r="F246" s="9"/>
      <c r="XAA246" t="str">
        <f t="shared" si="9"/>
        <v/>
      </c>
      <c r="XAB246" t="str">
        <f>IF(ISNUMBER(XAA246),_xlfn.RANK.EQ(XAA246,$XAA$2:$XAA$254,0)+COUNTIF($XAA$2:XAA246,XAA246)-1,"")</f>
        <v/>
      </c>
      <c r="XAC246" s="11" t="str">
        <f t="shared" si="10"/>
        <v/>
      </c>
    </row>
    <row r="247" spans="3:6 16251:16253" x14ac:dyDescent="0.25">
      <c r="C247" s="17" t="str">
        <f t="shared" si="11"/>
        <v/>
      </c>
      <c r="D247" s="3"/>
      <c r="E247" s="6"/>
      <c r="F247" s="9"/>
      <c r="XAA247" t="str">
        <f t="shared" si="9"/>
        <v/>
      </c>
      <c r="XAB247" t="str">
        <f>IF(ISNUMBER(XAA247),_xlfn.RANK.EQ(XAA247,$XAA$2:$XAA$254,0)+COUNTIF($XAA$2:XAA247,XAA247)-1,"")</f>
        <v/>
      </c>
      <c r="XAC247" s="11" t="str">
        <f t="shared" si="10"/>
        <v/>
      </c>
    </row>
    <row r="248" spans="3:6 16251:16253" x14ac:dyDescent="0.25">
      <c r="C248" s="17" t="str">
        <f t="shared" si="11"/>
        <v/>
      </c>
      <c r="D248" s="3"/>
      <c r="E248" s="6"/>
      <c r="F248" s="9"/>
      <c r="XAA248" t="str">
        <f t="shared" si="9"/>
        <v/>
      </c>
      <c r="XAB248" t="str">
        <f>IF(ISNUMBER(XAA248),_xlfn.RANK.EQ(XAA248,$XAA$2:$XAA$254,0)+COUNTIF($XAA$2:XAA248,XAA248)-1,"")</f>
        <v/>
      </c>
      <c r="XAC248" s="11" t="str">
        <f t="shared" si="10"/>
        <v/>
      </c>
    </row>
    <row r="249" spans="3:6 16251:16253" x14ac:dyDescent="0.25">
      <c r="C249" s="17" t="str">
        <f t="shared" si="11"/>
        <v/>
      </c>
      <c r="D249" s="3"/>
      <c r="E249" s="6"/>
      <c r="F249" s="9"/>
      <c r="XAA249" t="str">
        <f t="shared" si="9"/>
        <v/>
      </c>
      <c r="XAB249" t="str">
        <f>IF(ISNUMBER(XAA249),_xlfn.RANK.EQ(XAA249,$XAA$2:$XAA$254,0)+COUNTIF($XAA$2:XAA249,XAA249)-1,"")</f>
        <v/>
      </c>
      <c r="XAC249" s="11" t="str">
        <f t="shared" si="10"/>
        <v/>
      </c>
    </row>
    <row r="250" spans="3:6 16251:16253" x14ac:dyDescent="0.25">
      <c r="C250" s="17" t="str">
        <f t="shared" si="11"/>
        <v/>
      </c>
      <c r="D250" s="3"/>
      <c r="E250" s="6"/>
      <c r="F250" s="9"/>
      <c r="XAA250" t="str">
        <f t="shared" si="9"/>
        <v/>
      </c>
      <c r="XAB250" t="str">
        <f>IF(ISNUMBER(XAA250),_xlfn.RANK.EQ(XAA250,$XAA$2:$XAA$254,0)+COUNTIF($XAA$2:XAA250,XAA250)-1,"")</f>
        <v/>
      </c>
      <c r="XAC250" s="11" t="str">
        <f t="shared" si="10"/>
        <v/>
      </c>
    </row>
    <row r="251" spans="3:6 16251:16253" x14ac:dyDescent="0.25">
      <c r="C251" s="17" t="str">
        <f t="shared" si="11"/>
        <v/>
      </c>
      <c r="D251" s="3"/>
      <c r="E251" s="6"/>
      <c r="F251" s="9"/>
      <c r="XAA251" t="str">
        <f t="shared" si="9"/>
        <v/>
      </c>
      <c r="XAB251" t="str">
        <f>IF(ISNUMBER(XAA251),_xlfn.RANK.EQ(XAA251,$XAA$2:$XAA$254,0)+COUNTIF($XAA$2:XAA251,XAA251)-1,"")</f>
        <v/>
      </c>
      <c r="XAC251" s="11" t="str">
        <f t="shared" si="10"/>
        <v/>
      </c>
    </row>
    <row r="252" spans="3:6 16251:16253" x14ac:dyDescent="0.25">
      <c r="C252" s="17" t="str">
        <f t="shared" si="11"/>
        <v/>
      </c>
      <c r="D252" s="3"/>
      <c r="E252" s="6"/>
      <c r="F252" s="9"/>
      <c r="XAA252" t="str">
        <f t="shared" si="9"/>
        <v/>
      </c>
      <c r="XAB252" t="str">
        <f>IF(ISNUMBER(XAA252),_xlfn.RANK.EQ(XAA252,$XAA$2:$XAA$254,0)+COUNTIF($XAA$2:XAA252,XAA252)-1,"")</f>
        <v/>
      </c>
      <c r="XAC252" s="11" t="str">
        <f t="shared" si="10"/>
        <v/>
      </c>
    </row>
    <row r="253" spans="3:6 16251:16253" x14ac:dyDescent="0.25">
      <c r="C253" s="17" t="str">
        <f t="shared" si="11"/>
        <v/>
      </c>
      <c r="D253" s="3"/>
      <c r="E253" s="6"/>
      <c r="F253" s="9"/>
      <c r="XAA253" t="str">
        <f t="shared" si="9"/>
        <v/>
      </c>
      <c r="XAB253" t="str">
        <f>IF(ISNUMBER(XAA253),_xlfn.RANK.EQ(XAA253,$XAA$2:$XAA$254,0)+COUNTIF($XAA$2:XAA253,XAA253)-1,"")</f>
        <v/>
      </c>
      <c r="XAC253" s="11" t="str">
        <f t="shared" si="10"/>
        <v/>
      </c>
    </row>
    <row r="254" spans="3:6 16251:16253" ht="15.75" thickBot="1" x14ac:dyDescent="0.3">
      <c r="C254" s="17" t="str">
        <f t="shared" si="11"/>
        <v/>
      </c>
      <c r="D254" s="4"/>
      <c r="E254" s="7"/>
      <c r="F254" s="10"/>
      <c r="XAA254" t="str">
        <f t="shared" si="9"/>
        <v/>
      </c>
      <c r="XAB254" t="str">
        <f>IF(ISNUMBER(XAA254),_xlfn.RANK.EQ(XAA254,$XAA$2:$XAA$254,0)+COUNTIF($XAA$2:XAA254,XAA254)-1,"")</f>
        <v/>
      </c>
      <c r="XAC254" s="11" t="str">
        <f t="shared" si="10"/>
        <v/>
      </c>
    </row>
    <row r="1048574" spans="1:26" x14ac:dyDescent="0.25">
      <c r="A1048574" t="s">
        <v>3</v>
      </c>
      <c r="C1048574" t="s">
        <v>3</v>
      </c>
      <c r="D1048574" t="s">
        <v>3</v>
      </c>
      <c r="E1048574" t="s">
        <v>3</v>
      </c>
      <c r="F1048574" t="s">
        <v>3</v>
      </c>
      <c r="G1048574" t="s">
        <v>3</v>
      </c>
      <c r="H1048574" t="s">
        <v>3</v>
      </c>
      <c r="I1048574" t="s">
        <v>3</v>
      </c>
      <c r="J1048574" t="s">
        <v>3</v>
      </c>
      <c r="K1048574" t="s">
        <v>3</v>
      </c>
      <c r="L1048574" t="s">
        <v>3</v>
      </c>
      <c r="M1048574" t="s">
        <v>3</v>
      </c>
      <c r="N1048574" t="s">
        <v>3</v>
      </c>
      <c r="O1048574" t="s">
        <v>3</v>
      </c>
      <c r="P1048574" t="s">
        <v>3</v>
      </c>
      <c r="Q1048574" t="s">
        <v>3</v>
      </c>
      <c r="R1048574" t="s">
        <v>3</v>
      </c>
      <c r="S1048574" t="s">
        <v>3</v>
      </c>
      <c r="T1048574" t="s">
        <v>3</v>
      </c>
      <c r="U1048574" t="s">
        <v>3</v>
      </c>
      <c r="V1048574" t="s">
        <v>3</v>
      </c>
      <c r="W1048574" t="s">
        <v>3</v>
      </c>
      <c r="X1048574" t="s">
        <v>3</v>
      </c>
      <c r="Y1048574" t="s">
        <v>3</v>
      </c>
      <c r="Z1048574" t="s">
        <v>3</v>
      </c>
    </row>
  </sheetData>
  <sheetProtection algorithmName="SHA-512" hashValue="iaZZQbkMMB+01NifyLHsnTjBiT34HwEQNrR3633K/6+68DXbp1nSeWy1ZfGPI5pxVxooIm5ejhdHJyJ2uv7TxQ==" saltValue="vAVRcO9YlRFTnx95w1P7sw==" spinCount="100000" sheet="1" objects="1" scenarios="1"/>
  <mergeCells count="3">
    <mergeCell ref="WZS3:WZU3"/>
    <mergeCell ref="WZS4:WZU4"/>
    <mergeCell ref="WZT17:WZU17"/>
  </mergeCells>
  <phoneticPr fontId="7" type="noConversion"/>
  <conditionalFormatting sqref="D114:D240 D243:D254">
    <cfRule type="duplicateValues" dxfId="1" priority="11"/>
  </conditionalFormatting>
  <conditionalFormatting sqref="D2:D113">
    <cfRule type="duplicateValues" dxfId="0" priority="1"/>
  </conditionalFormatting>
  <dataValidations count="2">
    <dataValidation type="list" allowBlank="1" showInputMessage="1" showErrorMessage="1" sqref="WZW4 WZW7" xr:uid="{4C7E1A90-C8D9-4FA7-B4C5-3427267F38BD}">
      <formula1>"S, N"</formula1>
    </dataValidation>
    <dataValidation type="list" errorStyle="warning" allowBlank="1" showErrorMessage="1" errorTitle="Qual é a unidade?" error="Selecione a Unidade da Questão" sqref="F2:F254" xr:uid="{ADAAD1C5-C3FA-406B-981C-EAAF310EB2EF}">
      <formula1>"Unidade 01, Unidade 02, Unidade 03, Unidade 04"</formula1>
    </dataValidation>
  </dataValidations>
  <pageMargins left="0.511811024" right="0.511811024" top="0.78740157499999996" bottom="0.78740157499999996" header="0.31496062000000002" footer="0.31496062000000002"/>
  <pageSetup paperSize="9" orientation="portrait" horizontalDpi="200" verticalDpi="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78BA966488403A4180A48193C6910E00" ma:contentTypeVersion="2" ma:contentTypeDescription="Crie um novo documento." ma:contentTypeScope="" ma:versionID="5c646d8e70d68d60a6f7398ad86f00d2">
  <xsd:schema xmlns:xsd="http://www.w3.org/2001/XMLSchema" xmlns:xs="http://www.w3.org/2001/XMLSchema" xmlns:p="http://schemas.microsoft.com/office/2006/metadata/properties" xmlns:ns3="ee1655e3-cfa0-4ff2-9045-b44b8805ef99" targetNamespace="http://schemas.microsoft.com/office/2006/metadata/properties" ma:root="true" ma:fieldsID="089c8f195827c75d0d0f6dfb15a32b6d" ns3:_="">
    <xsd:import namespace="ee1655e3-cfa0-4ff2-9045-b44b8805ef99"/>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1655e3-cfa0-4ff2-9045-b44b8805ef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8CFD2C1-A6F6-487D-A488-AF9A38C30B61}">
  <ds:schemaRefs>
    <ds:schemaRef ds:uri="http://schemas.microsoft.com/sharepoint/v3/contenttype/forms"/>
  </ds:schemaRefs>
</ds:datastoreItem>
</file>

<file path=customXml/itemProps2.xml><?xml version="1.0" encoding="utf-8"?>
<ds:datastoreItem xmlns:ds="http://schemas.openxmlformats.org/officeDocument/2006/customXml" ds:itemID="{6A319F65-85E2-4D6A-809F-9E46FB43815A}">
  <ds:schemaRef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ee1655e3-cfa0-4ff2-9045-b44b8805ef99"/>
    <ds:schemaRef ds:uri="http://www.w3.org/XML/1998/namespace"/>
  </ds:schemaRefs>
</ds:datastoreItem>
</file>

<file path=customXml/itemProps3.xml><?xml version="1.0" encoding="utf-8"?>
<ds:datastoreItem xmlns:ds="http://schemas.openxmlformats.org/officeDocument/2006/customXml" ds:itemID="{97E070FA-64E3-4592-B79B-3C27091BD4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1655e3-cfa0-4ff2-9045-b44b8805ef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P00</vt:lpstr>
      <vt:lpstr>P01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suporte.carlosperez</dc:creator>
  <cp:lastModifiedBy>SEARCH</cp:lastModifiedBy>
  <dcterms:created xsi:type="dcterms:W3CDTF">2023-02-17T19:32:19Z</dcterms:created>
  <dcterms:modified xsi:type="dcterms:W3CDTF">2023-08-15T15:45:13Z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0x01010078BA966488403A4180A48193C6910E00</vt:lpwstr>
  </property>
</Properties>
</file>