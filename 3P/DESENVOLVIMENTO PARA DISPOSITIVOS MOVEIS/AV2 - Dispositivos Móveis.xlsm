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EstaPastaDeTrabalho" defaultThemeVersion="166925"/>
  <mc:AlternateContent xmlns:mc="http://schemas.openxmlformats.org/markup-compatibility/2006">
    <mc:Choice Requires="x15">
      <x15ac:absPath xmlns:x15ac="http://schemas.microsoft.com/office/spreadsheetml/2010/11/ac" url="C:\Users\SEARCH-AC\Desktop\Marcos\Faculdade\"/>
    </mc:Choice>
  </mc:AlternateContent>
  <xr:revisionPtr revIDLastSave="0" documentId="13_ncr:1_{68146700-DBA3-428F-828F-3FD87633A0B7}" xr6:coauthVersionLast="47" xr6:coauthVersionMax="47" xr10:uidLastSave="{00000000-0000-0000-0000-000000000000}"/>
  <workbookProtection workbookAlgorithmName="SHA-512" workbookHashValue="Io+49jycpLSam9/rMS/ZHbqnfc84hxNvToJi9gJR2IVG/dmFZ0t9iLIX8Fz5watYusC/EiLBSRh6PgawIQMTSA==" workbookSaltValue="MwMKrX9HPa54goYOkJhxPw==" workbookSpinCount="100000" lockStructure="1"/>
  <bookViews>
    <workbookView xWindow="-120" yWindow="-120" windowWidth="20730" windowHeight="11160" xr2:uid="{7375E411-83D3-41A7-BDF3-3D0AE2F3B18B}"/>
  </bookViews>
  <sheets>
    <sheet name="P00" sheetId="1" r:id="rId1"/>
    <sheet name="P01" sheetId="2" state="hidden" r:id="rId2"/>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ZS3" i="2" l="1"/>
  <c r="WZW7" i="2"/>
  <c r="WZS4" i="2" l="1"/>
  <c r="XAC3" i="2"/>
  <c r="XAC4" i="2"/>
  <c r="XAC5" i="2"/>
  <c r="XAC6" i="2"/>
  <c r="XAC7" i="2"/>
  <c r="XAC8" i="2"/>
  <c r="XAC9" i="2"/>
  <c r="XAC10" i="2"/>
  <c r="XAC11" i="2"/>
  <c r="XAC12" i="2"/>
  <c r="XAC13" i="2"/>
  <c r="XAC14" i="2"/>
  <c r="XAC15" i="2"/>
  <c r="XAC16" i="2"/>
  <c r="XAC17" i="2"/>
  <c r="XAC18" i="2"/>
  <c r="XAC19" i="2"/>
  <c r="XAC20" i="2"/>
  <c r="XAC21" i="2"/>
  <c r="XAC22" i="2"/>
  <c r="XAC23" i="2"/>
  <c r="XAC24" i="2"/>
  <c r="XAC25" i="2"/>
  <c r="XAC26" i="2"/>
  <c r="XAC27" i="2"/>
  <c r="XAC28" i="2"/>
  <c r="XAC29" i="2"/>
  <c r="XAC30" i="2"/>
  <c r="XAC31" i="2"/>
  <c r="XAC32" i="2"/>
  <c r="XAC33" i="2"/>
  <c r="XAC34" i="2"/>
  <c r="XAC35" i="2"/>
  <c r="XAC36" i="2"/>
  <c r="XAC37" i="2"/>
  <c r="XAC38" i="2"/>
  <c r="XAC39" i="2"/>
  <c r="XAC40" i="2"/>
  <c r="XAC41" i="2"/>
  <c r="XAC42" i="2"/>
  <c r="XAC43" i="2"/>
  <c r="XAC44" i="2"/>
  <c r="XAC45" i="2"/>
  <c r="XAC46" i="2"/>
  <c r="XAC47" i="2"/>
  <c r="XAC48" i="2"/>
  <c r="XAC49" i="2"/>
  <c r="XAC50" i="2"/>
  <c r="XAC51" i="2"/>
  <c r="XAC52" i="2"/>
  <c r="XAC53" i="2"/>
  <c r="XAC54" i="2"/>
  <c r="XAC55" i="2"/>
  <c r="XAC56" i="2"/>
  <c r="XAC57" i="2"/>
  <c r="XAC58" i="2"/>
  <c r="XAC59" i="2"/>
  <c r="XAC60" i="2"/>
  <c r="XAC61" i="2"/>
  <c r="XAC62" i="2"/>
  <c r="XAC63" i="2"/>
  <c r="XAC64" i="2"/>
  <c r="XAC65" i="2"/>
  <c r="XAC66" i="2"/>
  <c r="XAC67" i="2"/>
  <c r="XAC68" i="2"/>
  <c r="XAC69" i="2"/>
  <c r="XAC70" i="2"/>
  <c r="XAC71" i="2"/>
  <c r="XAC72" i="2"/>
  <c r="XAC73" i="2"/>
  <c r="XAC74" i="2"/>
  <c r="XAC75" i="2"/>
  <c r="XAC76" i="2"/>
  <c r="XAC77" i="2"/>
  <c r="XAC78" i="2"/>
  <c r="XAC79" i="2"/>
  <c r="XAC80" i="2"/>
  <c r="XAC81" i="2"/>
  <c r="XAC82" i="2"/>
  <c r="XAC83" i="2"/>
  <c r="XAC84" i="2"/>
  <c r="XAC85" i="2"/>
  <c r="XAC86" i="2"/>
  <c r="XAC87" i="2"/>
  <c r="XAC88" i="2"/>
  <c r="XAC89" i="2"/>
  <c r="XAC90" i="2"/>
  <c r="XAC91" i="2"/>
  <c r="XAC92" i="2"/>
  <c r="XAC93" i="2"/>
  <c r="XAC94" i="2"/>
  <c r="XAC95" i="2"/>
  <c r="XAC96" i="2"/>
  <c r="XAC97" i="2"/>
  <c r="XAC98" i="2"/>
  <c r="XAC99" i="2"/>
  <c r="XAC100" i="2"/>
  <c r="XAC101" i="2"/>
  <c r="XAC102" i="2"/>
  <c r="XAC103" i="2"/>
  <c r="XAC104" i="2"/>
  <c r="XAC105" i="2"/>
  <c r="XAC106" i="2"/>
  <c r="XAC107" i="2"/>
  <c r="XAC108" i="2"/>
  <c r="XAC109" i="2"/>
  <c r="XAC110" i="2"/>
  <c r="XAC111" i="2"/>
  <c r="XAC112" i="2"/>
  <c r="XAC113" i="2"/>
  <c r="XAC114" i="2"/>
  <c r="XAC115" i="2"/>
  <c r="XAC116" i="2"/>
  <c r="XAC117" i="2"/>
  <c r="XAC118" i="2"/>
  <c r="XAC119" i="2"/>
  <c r="XAC120" i="2"/>
  <c r="XAC121" i="2"/>
  <c r="XAC122" i="2"/>
  <c r="XAC123" i="2"/>
  <c r="XAC124" i="2"/>
  <c r="XAC125" i="2"/>
  <c r="XAC126" i="2"/>
  <c r="XAC127" i="2"/>
  <c r="XAC128" i="2"/>
  <c r="XAC129" i="2"/>
  <c r="XAC130" i="2"/>
  <c r="XAC131" i="2"/>
  <c r="XAC132" i="2"/>
  <c r="XAC133" i="2"/>
  <c r="XAC134" i="2"/>
  <c r="XAC135" i="2"/>
  <c r="XAC136" i="2"/>
  <c r="XAC137" i="2"/>
  <c r="XAC138" i="2"/>
  <c r="XAC139" i="2"/>
  <c r="XAC140" i="2"/>
  <c r="XAC141" i="2"/>
  <c r="XAC142" i="2"/>
  <c r="XAC143" i="2"/>
  <c r="XAC144" i="2"/>
  <c r="XAC145" i="2"/>
  <c r="XAC146" i="2"/>
  <c r="XAC147" i="2"/>
  <c r="XAC148" i="2"/>
  <c r="XAC149" i="2"/>
  <c r="XAC150" i="2"/>
  <c r="XAC151" i="2"/>
  <c r="XAC152" i="2"/>
  <c r="XAC153" i="2"/>
  <c r="XAC154" i="2"/>
  <c r="XAC155" i="2"/>
  <c r="XAC156" i="2"/>
  <c r="XAC157" i="2"/>
  <c r="XAC158" i="2"/>
  <c r="XAC159" i="2"/>
  <c r="XAC160" i="2"/>
  <c r="XAC161" i="2"/>
  <c r="XAC162" i="2"/>
  <c r="XAC163" i="2"/>
  <c r="XAC164" i="2"/>
  <c r="XAC165" i="2"/>
  <c r="XAC166" i="2"/>
  <c r="XAC167" i="2"/>
  <c r="XAC168" i="2"/>
  <c r="XAC169" i="2"/>
  <c r="XAC170" i="2"/>
  <c r="XAC171" i="2"/>
  <c r="XAC172" i="2"/>
  <c r="XAC173" i="2"/>
  <c r="XAC174" i="2"/>
  <c r="XAC175" i="2"/>
  <c r="XAC176" i="2"/>
  <c r="XAC177" i="2"/>
  <c r="XAC178" i="2"/>
  <c r="XAC179" i="2"/>
  <c r="XAC180" i="2"/>
  <c r="XAC181" i="2"/>
  <c r="XAC182" i="2"/>
  <c r="XAC183" i="2"/>
  <c r="XAC184" i="2"/>
  <c r="XAC185" i="2"/>
  <c r="XAC186" i="2"/>
  <c r="XAC187" i="2"/>
  <c r="XAC188" i="2"/>
  <c r="XAC189" i="2"/>
  <c r="XAC190" i="2"/>
  <c r="XAC191" i="2"/>
  <c r="XAC192" i="2"/>
  <c r="XAC193" i="2"/>
  <c r="XAC194" i="2"/>
  <c r="XAC195" i="2"/>
  <c r="XAC196" i="2"/>
  <c r="XAC197" i="2"/>
  <c r="XAC198" i="2"/>
  <c r="XAC199" i="2"/>
  <c r="XAC200" i="2"/>
  <c r="XAC201" i="2"/>
  <c r="XAC202" i="2"/>
  <c r="XAC203" i="2"/>
  <c r="XAC204" i="2"/>
  <c r="XAC205" i="2"/>
  <c r="XAC206" i="2"/>
  <c r="XAC207" i="2"/>
  <c r="XAC208" i="2"/>
  <c r="XAC209" i="2"/>
  <c r="XAC210" i="2"/>
  <c r="XAC211" i="2"/>
  <c r="XAC212" i="2"/>
  <c r="XAC213" i="2"/>
  <c r="XAC214" i="2"/>
  <c r="XAC215" i="2"/>
  <c r="XAC216" i="2"/>
  <c r="XAC217" i="2"/>
  <c r="XAC218" i="2"/>
  <c r="XAC219" i="2"/>
  <c r="XAC220" i="2"/>
  <c r="XAC221" i="2"/>
  <c r="XAC222" i="2"/>
  <c r="XAC223" i="2"/>
  <c r="XAC224" i="2"/>
  <c r="XAC225" i="2"/>
  <c r="XAC226" i="2"/>
  <c r="XAC227" i="2"/>
  <c r="XAC228" i="2"/>
  <c r="XAC229" i="2"/>
  <c r="XAC230" i="2"/>
  <c r="XAC231" i="2"/>
  <c r="XAC232" i="2"/>
  <c r="XAC233" i="2"/>
  <c r="XAC234" i="2"/>
  <c r="XAC235" i="2"/>
  <c r="XAC236" i="2"/>
  <c r="XAC237" i="2"/>
  <c r="XAC238" i="2"/>
  <c r="XAC239" i="2"/>
  <c r="XAC240" i="2"/>
  <c r="XAC241" i="2"/>
  <c r="XAC242" i="2"/>
  <c r="XAC243" i="2"/>
  <c r="XAC244" i="2"/>
  <c r="XAC245" i="2"/>
  <c r="XAC246" i="2"/>
  <c r="XAC247" i="2"/>
  <c r="XAC248" i="2"/>
  <c r="XAC249" i="2"/>
  <c r="XAC250" i="2"/>
  <c r="XAC251" i="2"/>
  <c r="XAC252" i="2"/>
  <c r="XAC253" i="2"/>
  <c r="XAC254" i="2"/>
  <c r="XAC2" i="2"/>
  <c r="WZS9" i="2" l="1"/>
  <c r="WZS8" i="2"/>
  <c r="WZS7" i="2"/>
  <c r="XAA3" i="2"/>
  <c r="XAA7" i="2"/>
  <c r="XAA11" i="2"/>
  <c r="XAA15" i="2"/>
  <c r="XAA19" i="2"/>
  <c r="XAA23" i="2"/>
  <c r="XAA26" i="2"/>
  <c r="XAA29" i="2"/>
  <c r="XAA36" i="2"/>
  <c r="XAA39" i="2"/>
  <c r="XAA43" i="2"/>
  <c r="XAA50" i="2"/>
  <c r="XAA53" i="2"/>
  <c r="XAA56" i="2"/>
  <c r="XAA59" i="2"/>
  <c r="XAA66" i="2"/>
  <c r="XAA69" i="2"/>
  <c r="XAA72" i="2"/>
  <c r="XAA75" i="2"/>
  <c r="XAA82" i="2"/>
  <c r="XAA85" i="2"/>
  <c r="XAA88" i="2"/>
  <c r="XAA91" i="2"/>
  <c r="XAA98" i="2"/>
  <c r="XAB98" i="2" s="1"/>
  <c r="C98" i="2" s="1"/>
  <c r="XAA101" i="2"/>
  <c r="XAB101" i="2" s="1"/>
  <c r="C101" i="2" s="1"/>
  <c r="XAA104" i="2"/>
  <c r="XAB104" i="2" s="1"/>
  <c r="C104" i="2" s="1"/>
  <c r="XAA107" i="2"/>
  <c r="XAB107" i="2" s="1"/>
  <c r="C107" i="2" s="1"/>
  <c r="XAA114" i="2"/>
  <c r="XAB114" i="2" s="1"/>
  <c r="C114" i="2" s="1"/>
  <c r="XAA117" i="2"/>
  <c r="XAB117" i="2" s="1"/>
  <c r="C117" i="2" s="1"/>
  <c r="XAA120" i="2"/>
  <c r="XAB120" i="2" s="1"/>
  <c r="C120" i="2" s="1"/>
  <c r="XAA123" i="2"/>
  <c r="XAB123" i="2" s="1"/>
  <c r="C123" i="2" s="1"/>
  <c r="XAA130" i="2"/>
  <c r="XAB130" i="2" s="1"/>
  <c r="C130" i="2" s="1"/>
  <c r="XAA133" i="2"/>
  <c r="XAB133" i="2" s="1"/>
  <c r="C133" i="2" s="1"/>
  <c r="XAA136" i="2"/>
  <c r="XAB136" i="2" s="1"/>
  <c r="C136" i="2" s="1"/>
  <c r="XAA139" i="2"/>
  <c r="XAB139" i="2" s="1"/>
  <c r="C139" i="2" s="1"/>
  <c r="XAA146" i="2"/>
  <c r="XAB146" i="2" s="1"/>
  <c r="C146" i="2" s="1"/>
  <c r="XAA149" i="2"/>
  <c r="XAB149" i="2" s="1"/>
  <c r="C149" i="2" s="1"/>
  <c r="XAA152" i="2"/>
  <c r="XAB152" i="2" s="1"/>
  <c r="C152" i="2" s="1"/>
  <c r="XAA155" i="2"/>
  <c r="XAB155" i="2" s="1"/>
  <c r="C155" i="2" s="1"/>
  <c r="XAA162" i="2"/>
  <c r="XAB162" i="2" s="1"/>
  <c r="C162" i="2" s="1"/>
  <c r="XAA165" i="2"/>
  <c r="XAB165" i="2" s="1"/>
  <c r="C165" i="2" s="1"/>
  <c r="XAA168" i="2"/>
  <c r="XAB168" i="2" s="1"/>
  <c r="C168" i="2" s="1"/>
  <c r="XAA171" i="2"/>
  <c r="XAB171" i="2" s="1"/>
  <c r="C171" i="2" s="1"/>
  <c r="XAA173" i="2"/>
  <c r="XAB173" i="2" s="1"/>
  <c r="C173" i="2" s="1"/>
  <c r="XAA175" i="2"/>
  <c r="XAB175" i="2" s="1"/>
  <c r="C175" i="2" s="1"/>
  <c r="XAA177" i="2"/>
  <c r="XAB177" i="2" s="1"/>
  <c r="C177" i="2" s="1"/>
  <c r="XAA179" i="2"/>
  <c r="XAB179" i="2" s="1"/>
  <c r="C179" i="2" s="1"/>
  <c r="XAA181" i="2"/>
  <c r="XAB181" i="2" s="1"/>
  <c r="C181" i="2" s="1"/>
  <c r="XAA183" i="2"/>
  <c r="XAB183" i="2" s="1"/>
  <c r="C183" i="2" s="1"/>
  <c r="XAA185" i="2"/>
  <c r="XAB185" i="2" s="1"/>
  <c r="C185" i="2" s="1"/>
  <c r="XAA187" i="2"/>
  <c r="XAB187" i="2" s="1"/>
  <c r="C187" i="2" s="1"/>
  <c r="XAA189" i="2"/>
  <c r="XAB189" i="2" s="1"/>
  <c r="C189" i="2" s="1"/>
  <c r="XAA191" i="2"/>
  <c r="XAB191" i="2" s="1"/>
  <c r="C191" i="2" s="1"/>
  <c r="XAA193" i="2"/>
  <c r="XAB193" i="2" s="1"/>
  <c r="C193" i="2" s="1"/>
  <c r="XAA195" i="2"/>
  <c r="XAB195" i="2" s="1"/>
  <c r="C195" i="2" s="1"/>
  <c r="XAA197" i="2"/>
  <c r="XAB197" i="2" s="1"/>
  <c r="C197" i="2" s="1"/>
  <c r="XAA199" i="2"/>
  <c r="XAB199" i="2" s="1"/>
  <c r="C199" i="2" s="1"/>
  <c r="XAA201" i="2"/>
  <c r="XAB201" i="2" s="1"/>
  <c r="C201" i="2" s="1"/>
  <c r="XAA203" i="2"/>
  <c r="XAB203" i="2" s="1"/>
  <c r="C203" i="2" s="1"/>
  <c r="XAA205" i="2"/>
  <c r="XAB205" i="2" s="1"/>
  <c r="C205" i="2" s="1"/>
  <c r="XAA207" i="2"/>
  <c r="XAB207" i="2" s="1"/>
  <c r="C207" i="2" s="1"/>
  <c r="XAA209" i="2"/>
  <c r="XAB209" i="2" s="1"/>
  <c r="C209" i="2" s="1"/>
  <c r="XAA211" i="2"/>
  <c r="XAB211" i="2" s="1"/>
  <c r="C211" i="2" s="1"/>
  <c r="XAA213" i="2"/>
  <c r="XAB213" i="2" s="1"/>
  <c r="C213" i="2" s="1"/>
  <c r="XAA215" i="2"/>
  <c r="XAB215" i="2" s="1"/>
  <c r="C215" i="2" s="1"/>
  <c r="XAA217" i="2"/>
  <c r="XAB217" i="2" s="1"/>
  <c r="C217" i="2" s="1"/>
  <c r="XAA219" i="2"/>
  <c r="XAB219" i="2" s="1"/>
  <c r="C219" i="2" s="1"/>
  <c r="XAA221" i="2"/>
  <c r="XAB221" i="2" s="1"/>
  <c r="C221" i="2" s="1"/>
  <c r="XAA223" i="2"/>
  <c r="XAB223" i="2" s="1"/>
  <c r="C223" i="2" s="1"/>
  <c r="XAA225" i="2"/>
  <c r="XAB225" i="2" s="1"/>
  <c r="C225" i="2" s="1"/>
  <c r="XAA227" i="2"/>
  <c r="XAB227" i="2" s="1"/>
  <c r="C227" i="2" s="1"/>
  <c r="XAA229" i="2"/>
  <c r="XAB229" i="2" s="1"/>
  <c r="C229" i="2" s="1"/>
  <c r="XAA231" i="2"/>
  <c r="XAB231" i="2" s="1"/>
  <c r="C231" i="2" s="1"/>
  <c r="XAA233" i="2"/>
  <c r="XAB233" i="2" s="1"/>
  <c r="C233" i="2" s="1"/>
  <c r="XAA235" i="2"/>
  <c r="XAB235" i="2" s="1"/>
  <c r="C235" i="2" s="1"/>
  <c r="XAA4" i="2"/>
  <c r="XAA8" i="2"/>
  <c r="XAA12" i="2"/>
  <c r="XAA16" i="2"/>
  <c r="XAA20" i="2"/>
  <c r="XAA24" i="2"/>
  <c r="XAA27" i="2"/>
  <c r="XAA30" i="2"/>
  <c r="XAA33" i="2"/>
  <c r="XAA40" i="2"/>
  <c r="XAA44" i="2"/>
  <c r="XAA47" i="2"/>
  <c r="XAA54" i="2"/>
  <c r="XAA57" i="2"/>
  <c r="XAA60" i="2"/>
  <c r="XAA63" i="2"/>
  <c r="XAA70" i="2"/>
  <c r="XAA73" i="2"/>
  <c r="XAA76" i="2"/>
  <c r="XAA79" i="2"/>
  <c r="XAA86" i="2"/>
  <c r="XAA89" i="2"/>
  <c r="XAA92" i="2"/>
  <c r="XAB92" i="2" s="1"/>
  <c r="C92" i="2" s="1"/>
  <c r="XAA95" i="2"/>
  <c r="XAB95" i="2" s="1"/>
  <c r="C95" i="2" s="1"/>
  <c r="XAA102" i="2"/>
  <c r="XAB102" i="2" s="1"/>
  <c r="C102" i="2" s="1"/>
  <c r="XAA105" i="2"/>
  <c r="XAB105" i="2" s="1"/>
  <c r="C105" i="2" s="1"/>
  <c r="XAA108" i="2"/>
  <c r="XAB108" i="2" s="1"/>
  <c r="C108" i="2" s="1"/>
  <c r="XAA111" i="2"/>
  <c r="XAB111" i="2" s="1"/>
  <c r="C111" i="2" s="1"/>
  <c r="XAA118" i="2"/>
  <c r="XAB118" i="2" s="1"/>
  <c r="C118" i="2" s="1"/>
  <c r="XAA121" i="2"/>
  <c r="XAB121" i="2" s="1"/>
  <c r="C121" i="2" s="1"/>
  <c r="XAA124" i="2"/>
  <c r="XAB124" i="2" s="1"/>
  <c r="C124" i="2" s="1"/>
  <c r="XAA127" i="2"/>
  <c r="XAB127" i="2" s="1"/>
  <c r="C127" i="2" s="1"/>
  <c r="XAA134" i="2"/>
  <c r="XAB134" i="2" s="1"/>
  <c r="C134" i="2" s="1"/>
  <c r="XAA137" i="2"/>
  <c r="XAB137" i="2" s="1"/>
  <c r="C137" i="2" s="1"/>
  <c r="XAA140" i="2"/>
  <c r="XAB140" i="2" s="1"/>
  <c r="C140" i="2" s="1"/>
  <c r="XAA143" i="2"/>
  <c r="XAB143" i="2" s="1"/>
  <c r="C143" i="2" s="1"/>
  <c r="XAA150" i="2"/>
  <c r="XAB150" i="2" s="1"/>
  <c r="C150" i="2" s="1"/>
  <c r="XAA153" i="2"/>
  <c r="XAB153" i="2" s="1"/>
  <c r="C153" i="2" s="1"/>
  <c r="XAA156" i="2"/>
  <c r="XAB156" i="2" s="1"/>
  <c r="C156" i="2" s="1"/>
  <c r="XAA159" i="2"/>
  <c r="XAB159" i="2" s="1"/>
  <c r="C159" i="2" s="1"/>
  <c r="XAA166" i="2"/>
  <c r="XAB166" i="2" s="1"/>
  <c r="C166" i="2" s="1"/>
  <c r="XAA169" i="2"/>
  <c r="XAB169" i="2" s="1"/>
  <c r="C169" i="2" s="1"/>
  <c r="XAA5" i="2"/>
  <c r="XAA9" i="2"/>
  <c r="XAA13" i="2"/>
  <c r="XAA17" i="2"/>
  <c r="XAA21" i="2"/>
  <c r="XAA28" i="2"/>
  <c r="XAA31" i="2"/>
  <c r="XAA34" i="2"/>
  <c r="XAA37" i="2"/>
  <c r="XAA42" i="2"/>
  <c r="XAA45" i="2"/>
  <c r="XAA48" i="2"/>
  <c r="XAA51" i="2"/>
  <c r="XAA58" i="2"/>
  <c r="XAA61" i="2"/>
  <c r="XAA64" i="2"/>
  <c r="XAA67" i="2"/>
  <c r="XAA74" i="2"/>
  <c r="XAA77" i="2"/>
  <c r="XAA80" i="2"/>
  <c r="XAA83" i="2"/>
  <c r="XAA90" i="2"/>
  <c r="XAA93" i="2"/>
  <c r="XAB93" i="2" s="1"/>
  <c r="C93" i="2" s="1"/>
  <c r="XAA96" i="2"/>
  <c r="XAB96" i="2" s="1"/>
  <c r="C96" i="2" s="1"/>
  <c r="XAA99" i="2"/>
  <c r="XAB99" i="2" s="1"/>
  <c r="C99" i="2" s="1"/>
  <c r="XAA106" i="2"/>
  <c r="XAB106" i="2" s="1"/>
  <c r="C106" i="2" s="1"/>
  <c r="XAA109" i="2"/>
  <c r="XAB109" i="2" s="1"/>
  <c r="C109" i="2" s="1"/>
  <c r="XAA112" i="2"/>
  <c r="XAB112" i="2" s="1"/>
  <c r="C112" i="2" s="1"/>
  <c r="XAA115" i="2"/>
  <c r="XAB115" i="2" s="1"/>
  <c r="C115" i="2" s="1"/>
  <c r="XAA122" i="2"/>
  <c r="XAB122" i="2" s="1"/>
  <c r="C122" i="2" s="1"/>
  <c r="XAA125" i="2"/>
  <c r="XAB125" i="2" s="1"/>
  <c r="C125" i="2" s="1"/>
  <c r="XAA128" i="2"/>
  <c r="XAB128" i="2" s="1"/>
  <c r="C128" i="2" s="1"/>
  <c r="XAA131" i="2"/>
  <c r="XAB131" i="2" s="1"/>
  <c r="C131" i="2" s="1"/>
  <c r="XAA138" i="2"/>
  <c r="XAB138" i="2" s="1"/>
  <c r="C138" i="2" s="1"/>
  <c r="XAA141" i="2"/>
  <c r="XAB141" i="2" s="1"/>
  <c r="C141" i="2" s="1"/>
  <c r="XAA144" i="2"/>
  <c r="XAB144" i="2" s="1"/>
  <c r="C144" i="2" s="1"/>
  <c r="XAA147" i="2"/>
  <c r="XAB147" i="2" s="1"/>
  <c r="C147" i="2" s="1"/>
  <c r="XAA154" i="2"/>
  <c r="XAB154" i="2" s="1"/>
  <c r="C154" i="2" s="1"/>
  <c r="XAA157" i="2"/>
  <c r="XAB157" i="2" s="1"/>
  <c r="C157" i="2" s="1"/>
  <c r="XAA160" i="2"/>
  <c r="XAB160" i="2" s="1"/>
  <c r="C160" i="2" s="1"/>
  <c r="XAA163" i="2"/>
  <c r="XAB163" i="2" s="1"/>
  <c r="C163" i="2" s="1"/>
  <c r="XAA170" i="2"/>
  <c r="XAB170" i="2" s="1"/>
  <c r="C170" i="2" s="1"/>
  <c r="XAA172" i="2"/>
  <c r="XAB172" i="2" s="1"/>
  <c r="C172" i="2" s="1"/>
  <c r="XAA174" i="2"/>
  <c r="XAB174" i="2" s="1"/>
  <c r="C174" i="2" s="1"/>
  <c r="XAA176" i="2"/>
  <c r="XAB176" i="2" s="1"/>
  <c r="C176" i="2" s="1"/>
  <c r="XAA178" i="2"/>
  <c r="XAB178" i="2" s="1"/>
  <c r="C178" i="2" s="1"/>
  <c r="XAA180" i="2"/>
  <c r="XAB180" i="2" s="1"/>
  <c r="C180" i="2" s="1"/>
  <c r="XAA182" i="2"/>
  <c r="XAB182" i="2" s="1"/>
  <c r="C182" i="2" s="1"/>
  <c r="XAA184" i="2"/>
  <c r="XAB184" i="2" s="1"/>
  <c r="C184" i="2" s="1"/>
  <c r="XAA186" i="2"/>
  <c r="XAB186" i="2" s="1"/>
  <c r="C186" i="2" s="1"/>
  <c r="XAA188" i="2"/>
  <c r="XAB188" i="2" s="1"/>
  <c r="C188" i="2" s="1"/>
  <c r="XAA190" i="2"/>
  <c r="XAB190" i="2" s="1"/>
  <c r="C190" i="2" s="1"/>
  <c r="XAA192" i="2"/>
  <c r="XAB192" i="2" s="1"/>
  <c r="C192" i="2" s="1"/>
  <c r="XAA194" i="2"/>
  <c r="XAB194" i="2" s="1"/>
  <c r="C194" i="2" s="1"/>
  <c r="XAA196" i="2"/>
  <c r="XAB196" i="2" s="1"/>
  <c r="C196" i="2" s="1"/>
  <c r="XAA198" i="2"/>
  <c r="XAB198" i="2" s="1"/>
  <c r="C198" i="2" s="1"/>
  <c r="XAA200" i="2"/>
  <c r="XAB200" i="2" s="1"/>
  <c r="C200" i="2" s="1"/>
  <c r="XAA202" i="2"/>
  <c r="XAB202" i="2" s="1"/>
  <c r="C202" i="2" s="1"/>
  <c r="XAA204" i="2"/>
  <c r="XAB204" i="2" s="1"/>
  <c r="C204" i="2" s="1"/>
  <c r="XAA206" i="2"/>
  <c r="XAB206" i="2" s="1"/>
  <c r="C206" i="2" s="1"/>
  <c r="XAA208" i="2"/>
  <c r="XAB208" i="2" s="1"/>
  <c r="C208" i="2" s="1"/>
  <c r="XAA210" i="2"/>
  <c r="XAB210" i="2" s="1"/>
  <c r="C210" i="2" s="1"/>
  <c r="XAA212" i="2"/>
  <c r="XAB212" i="2" s="1"/>
  <c r="C212" i="2" s="1"/>
  <c r="XAA214" i="2"/>
  <c r="XAB214" i="2" s="1"/>
  <c r="C214" i="2" s="1"/>
  <c r="XAA216" i="2"/>
  <c r="XAB216" i="2" s="1"/>
  <c r="C216" i="2" s="1"/>
  <c r="XAA218" i="2"/>
  <c r="XAB218" i="2" s="1"/>
  <c r="C218" i="2" s="1"/>
  <c r="XAA220" i="2"/>
  <c r="XAB220" i="2" s="1"/>
  <c r="C220" i="2" s="1"/>
  <c r="XAA222" i="2"/>
  <c r="XAB222" i="2" s="1"/>
  <c r="C222" i="2" s="1"/>
  <c r="XAA224" i="2"/>
  <c r="XAB224" i="2" s="1"/>
  <c r="C224" i="2" s="1"/>
  <c r="XAA226" i="2"/>
  <c r="XAB226" i="2" s="1"/>
  <c r="C226" i="2" s="1"/>
  <c r="XAA228" i="2"/>
  <c r="XAB228" i="2" s="1"/>
  <c r="C228" i="2" s="1"/>
  <c r="XAA230" i="2"/>
  <c r="XAB230" i="2" s="1"/>
  <c r="C230" i="2" s="1"/>
  <c r="XAA232" i="2"/>
  <c r="XAB232" i="2" s="1"/>
  <c r="C232" i="2" s="1"/>
  <c r="XAA234" i="2"/>
  <c r="XAB234" i="2" s="1"/>
  <c r="C234" i="2" s="1"/>
  <c r="XAA236" i="2"/>
  <c r="XAB236" i="2" s="1"/>
  <c r="C236" i="2" s="1"/>
  <c r="XAA6" i="2"/>
  <c r="XAA10" i="2"/>
  <c r="XAA14" i="2"/>
  <c r="XAA18" i="2"/>
  <c r="XAA22" i="2"/>
  <c r="XAA25" i="2"/>
  <c r="XAA32" i="2"/>
  <c r="XAA35" i="2"/>
  <c r="XAA38" i="2"/>
  <c r="XAA41" i="2"/>
  <c r="XAA46" i="2"/>
  <c r="XAA49" i="2"/>
  <c r="XAA52" i="2"/>
  <c r="XAA55" i="2"/>
  <c r="XAA62" i="2"/>
  <c r="XAA65" i="2"/>
  <c r="XAA68" i="2"/>
  <c r="XAA71" i="2"/>
  <c r="XAA78" i="2"/>
  <c r="XAA81" i="2"/>
  <c r="XAA84" i="2"/>
  <c r="XAA87" i="2"/>
  <c r="XAA94" i="2"/>
  <c r="XAB94" i="2" s="1"/>
  <c r="C94" i="2" s="1"/>
  <c r="XAA97" i="2"/>
  <c r="XAB97" i="2" s="1"/>
  <c r="C97" i="2" s="1"/>
  <c r="XAA100" i="2"/>
  <c r="XAB100" i="2" s="1"/>
  <c r="C100" i="2" s="1"/>
  <c r="XAA103" i="2"/>
  <c r="XAB103" i="2" s="1"/>
  <c r="C103" i="2" s="1"/>
  <c r="XAA110" i="2"/>
  <c r="XAB110" i="2" s="1"/>
  <c r="C110" i="2" s="1"/>
  <c r="XAA113" i="2"/>
  <c r="XAB113" i="2" s="1"/>
  <c r="C113" i="2" s="1"/>
  <c r="XAA116" i="2"/>
  <c r="XAB116" i="2" s="1"/>
  <c r="C116" i="2" s="1"/>
  <c r="XAA119" i="2"/>
  <c r="XAB119" i="2" s="1"/>
  <c r="C119" i="2" s="1"/>
  <c r="XAA126" i="2"/>
  <c r="XAB126" i="2" s="1"/>
  <c r="C126" i="2" s="1"/>
  <c r="XAA129" i="2"/>
  <c r="XAB129" i="2" s="1"/>
  <c r="C129" i="2" s="1"/>
  <c r="XAA132" i="2"/>
  <c r="XAB132" i="2" s="1"/>
  <c r="C132" i="2" s="1"/>
  <c r="XAA135" i="2"/>
  <c r="XAB135" i="2" s="1"/>
  <c r="C135" i="2" s="1"/>
  <c r="XAA142" i="2"/>
  <c r="XAB142" i="2" s="1"/>
  <c r="C142" i="2" s="1"/>
  <c r="XAA145" i="2"/>
  <c r="XAB145" i="2" s="1"/>
  <c r="C145" i="2" s="1"/>
  <c r="XAA148" i="2"/>
  <c r="XAB148" i="2" s="1"/>
  <c r="C148" i="2" s="1"/>
  <c r="XAA151" i="2"/>
  <c r="XAB151" i="2" s="1"/>
  <c r="C151" i="2" s="1"/>
  <c r="XAA158" i="2"/>
  <c r="XAB158" i="2" s="1"/>
  <c r="C158" i="2" s="1"/>
  <c r="XAA161" i="2"/>
  <c r="XAB161" i="2" s="1"/>
  <c r="C161" i="2" s="1"/>
  <c r="XAA164" i="2"/>
  <c r="XAB164" i="2" s="1"/>
  <c r="C164" i="2" s="1"/>
  <c r="XAA167" i="2"/>
  <c r="XAB167" i="2" s="1"/>
  <c r="C167" i="2" s="1"/>
  <c r="XAA254" i="2"/>
  <c r="XAB254" i="2" s="1"/>
  <c r="C254" i="2" s="1"/>
  <c r="XAA252" i="2"/>
  <c r="XAB252" i="2" s="1"/>
  <c r="C252" i="2" s="1"/>
  <c r="XAA250" i="2"/>
  <c r="XAB250" i="2" s="1"/>
  <c r="C250" i="2" s="1"/>
  <c r="XAA248" i="2"/>
  <c r="XAB248" i="2" s="1"/>
  <c r="C248" i="2" s="1"/>
  <c r="XAA246" i="2"/>
  <c r="XAB246" i="2" s="1"/>
  <c r="C246" i="2" s="1"/>
  <c r="XAA244" i="2"/>
  <c r="XAB244" i="2" s="1"/>
  <c r="C244" i="2" s="1"/>
  <c r="XAA242" i="2"/>
  <c r="XAB242" i="2" s="1"/>
  <c r="C242" i="2" s="1"/>
  <c r="XAA240" i="2"/>
  <c r="XAB240" i="2" s="1"/>
  <c r="C240" i="2" s="1"/>
  <c r="XAA238" i="2"/>
  <c r="XAB238" i="2" s="1"/>
  <c r="C238" i="2" s="1"/>
  <c r="XAA2" i="2"/>
  <c r="XAA253" i="2"/>
  <c r="XAB253" i="2" s="1"/>
  <c r="C253" i="2" s="1"/>
  <c r="XAA251" i="2"/>
  <c r="XAB251" i="2" s="1"/>
  <c r="C251" i="2" s="1"/>
  <c r="XAA249" i="2"/>
  <c r="XAB249" i="2" s="1"/>
  <c r="C249" i="2" s="1"/>
  <c r="XAA247" i="2"/>
  <c r="XAB247" i="2" s="1"/>
  <c r="C247" i="2" s="1"/>
  <c r="XAA245" i="2"/>
  <c r="XAB245" i="2" s="1"/>
  <c r="C245" i="2" s="1"/>
  <c r="XAA243" i="2"/>
  <c r="XAB243" i="2" s="1"/>
  <c r="C243" i="2" s="1"/>
  <c r="XAA241" i="2"/>
  <c r="XAB241" i="2" s="1"/>
  <c r="C241" i="2" s="1"/>
  <c r="XAA239" i="2"/>
  <c r="XAB239" i="2" s="1"/>
  <c r="C239" i="2" s="1"/>
  <c r="XAA237" i="2"/>
  <c r="XAB237" i="2" s="1"/>
  <c r="C237" i="2" s="1"/>
  <c r="XAB64" i="2" l="1"/>
  <c r="C64" i="2" s="1"/>
  <c r="XAB70" i="2"/>
  <c r="C70" i="2" s="1"/>
  <c r="XAB66" i="2"/>
  <c r="C66" i="2" s="1"/>
  <c r="XAB63" i="2"/>
  <c r="C63" i="2" s="1"/>
  <c r="XAB68" i="2"/>
  <c r="C68" i="2" s="1"/>
  <c r="XAB69" i="2"/>
  <c r="C69" i="2" s="1"/>
  <c r="XAB65" i="2"/>
  <c r="C65" i="2" s="1"/>
  <c r="XAB62" i="2"/>
  <c r="C62" i="2" s="1"/>
  <c r="XAB71" i="2"/>
  <c r="C71" i="2" s="1"/>
  <c r="XAB67" i="2"/>
  <c r="C67" i="2" s="1"/>
  <c r="XAB38" i="2"/>
  <c r="C38" i="2" s="1"/>
  <c r="XAB35" i="2"/>
  <c r="C35" i="2" s="1"/>
  <c r="XAB32" i="2"/>
  <c r="C32" i="2" s="1"/>
  <c r="XAB28" i="2"/>
  <c r="C28" i="2" s="1"/>
  <c r="XAB33" i="2"/>
  <c r="C33" i="2" s="1"/>
  <c r="XAB36" i="2"/>
  <c r="C36" i="2" s="1"/>
  <c r="XAB41" i="2"/>
  <c r="C41" i="2" s="1"/>
  <c r="XAB25" i="2"/>
  <c r="C25" i="2" s="1"/>
  <c r="XAB37" i="2"/>
  <c r="C37" i="2" s="1"/>
  <c r="XAB30" i="2"/>
  <c r="C30" i="2" s="1"/>
  <c r="XAB29" i="2"/>
  <c r="C29" i="2" s="1"/>
  <c r="XAB22" i="2"/>
  <c r="C22" i="2" s="1"/>
  <c r="XAB34" i="2"/>
  <c r="C34" i="2" s="1"/>
  <c r="XAB27" i="2"/>
  <c r="C27" i="2" s="1"/>
  <c r="XAB26" i="2"/>
  <c r="C26" i="2" s="1"/>
  <c r="XAB31" i="2"/>
  <c r="C31" i="2" s="1"/>
  <c r="XAB40" i="2"/>
  <c r="C40" i="2" s="1"/>
  <c r="XAB24" i="2"/>
  <c r="C24" i="2" s="1"/>
  <c r="XAB39" i="2"/>
  <c r="C39" i="2" s="1"/>
  <c r="XAB23" i="2"/>
  <c r="C23" i="2" s="1"/>
  <c r="XAB46" i="2"/>
  <c r="C46" i="2" s="1"/>
  <c r="XAB55" i="2"/>
  <c r="C55" i="2" s="1"/>
  <c r="XAB51" i="2"/>
  <c r="C51" i="2" s="1"/>
  <c r="XAB60" i="2"/>
  <c r="C60" i="2" s="1"/>
  <c r="XAB44" i="2"/>
  <c r="C44" i="2" s="1"/>
  <c r="XAB59" i="2"/>
  <c r="C59" i="2" s="1"/>
  <c r="XAB43" i="2"/>
  <c r="C43" i="2" s="1"/>
  <c r="XAB58" i="2"/>
  <c r="C58" i="2" s="1"/>
  <c r="XAB52" i="2"/>
  <c r="C52" i="2" s="1"/>
  <c r="XAB48" i="2"/>
  <c r="C48" i="2" s="1"/>
  <c r="XAB57" i="2"/>
  <c r="C57" i="2" s="1"/>
  <c r="XAB56" i="2"/>
  <c r="C56" i="2" s="1"/>
  <c r="XAB42" i="2"/>
  <c r="C42" i="2" s="1"/>
  <c r="XAB47" i="2"/>
  <c r="C47" i="2" s="1"/>
  <c r="XAB50" i="2"/>
  <c r="C50" i="2" s="1"/>
  <c r="XAB49" i="2"/>
  <c r="C49" i="2" s="1"/>
  <c r="XAB61" i="2"/>
  <c r="C61" i="2" s="1"/>
  <c r="XAB45" i="2"/>
  <c r="C45" i="2" s="1"/>
  <c r="XAB54" i="2"/>
  <c r="C54" i="2" s="1"/>
  <c r="XAB53" i="2"/>
  <c r="C53" i="2" s="1"/>
  <c r="XAB84" i="2"/>
  <c r="C84" i="2" s="1"/>
  <c r="XAB82" i="2"/>
  <c r="C82" i="2" s="1"/>
  <c r="XAB78" i="2"/>
  <c r="C78" i="2" s="1"/>
  <c r="XAB90" i="2"/>
  <c r="C90" i="2" s="1"/>
  <c r="XAB74" i="2"/>
  <c r="C74" i="2" s="1"/>
  <c r="XAB79" i="2"/>
  <c r="C79" i="2" s="1"/>
  <c r="XAB87" i="2"/>
  <c r="C87" i="2" s="1"/>
  <c r="XAB83" i="2"/>
  <c r="C83" i="2" s="1"/>
  <c r="XAB76" i="2"/>
  <c r="C76" i="2" s="1"/>
  <c r="XAB91" i="2"/>
  <c r="C91" i="2" s="1"/>
  <c r="XAB75" i="2"/>
  <c r="C75" i="2" s="1"/>
  <c r="XAB72" i="2"/>
  <c r="C72" i="2" s="1"/>
  <c r="XAB80" i="2"/>
  <c r="C80" i="2" s="1"/>
  <c r="XAB89" i="2"/>
  <c r="C89" i="2" s="1"/>
  <c r="XAB73" i="2"/>
  <c r="C73" i="2" s="1"/>
  <c r="XAB88" i="2"/>
  <c r="C88" i="2" s="1"/>
  <c r="XAB81" i="2"/>
  <c r="C81" i="2" s="1"/>
  <c r="XAB77" i="2"/>
  <c r="C77" i="2" s="1"/>
  <c r="XAB86" i="2"/>
  <c r="C86" i="2" s="1"/>
  <c r="XAB85" i="2"/>
  <c r="C85" i="2" s="1"/>
  <c r="WZS17" i="2"/>
  <c r="WZT17" i="2" s="1"/>
  <c r="H9" i="1" s="1"/>
  <c r="XAB21" i="2"/>
  <c r="C21" i="2" s="1"/>
  <c r="XAB13" i="2"/>
  <c r="C13" i="2" s="1"/>
  <c r="XAB15" i="2"/>
  <c r="C15" i="2" s="1"/>
  <c r="XAB11" i="2"/>
  <c r="C11" i="2" s="1"/>
  <c r="XAB20" i="2"/>
  <c r="C20" i="2" s="1"/>
  <c r="XAB7" i="2"/>
  <c r="C7" i="2" s="1"/>
  <c r="XAB6" i="2"/>
  <c r="C6" i="2" s="1"/>
  <c r="XAB10" i="2"/>
  <c r="C10" i="2" s="1"/>
  <c r="XAB17" i="2"/>
  <c r="C17" i="2" s="1"/>
  <c r="XAB12" i="2"/>
  <c r="C12" i="2" s="1"/>
  <c r="XAB5" i="2"/>
  <c r="C5" i="2" s="1"/>
  <c r="XAB2" i="2"/>
  <c r="C2" i="2" s="1"/>
  <c r="XAB18" i="2"/>
  <c r="C18" i="2" s="1"/>
  <c r="XAB8" i="2"/>
  <c r="C8" i="2" s="1"/>
  <c r="XAB16" i="2"/>
  <c r="C16" i="2" s="1"/>
  <c r="XAB14" i="2"/>
  <c r="C14" i="2" s="1"/>
  <c r="XAB9" i="2"/>
  <c r="C9" i="2" s="1"/>
  <c r="XAB4" i="2"/>
  <c r="C4" i="2" s="1"/>
  <c r="XAB19" i="2"/>
  <c r="C19" i="2" s="1"/>
  <c r="XAB3" i="2"/>
  <c r="C3" i="2" s="1"/>
  <c r="WZR7" i="2" l="1"/>
  <c r="B11" i="1" s="1"/>
  <c r="WZR9" i="2"/>
  <c r="B25" i="1" s="1"/>
  <c r="WZR8" i="2"/>
  <c r="B18" i="1" s="1"/>
  <c r="WZU7" i="2"/>
  <c r="O11" i="1" s="1"/>
  <c r="WZT7" i="2"/>
  <c r="C11" i="1" s="1"/>
  <c r="WZT9" i="2"/>
  <c r="C25" i="1" s="1"/>
  <c r="WZU9" i="2"/>
  <c r="O25" i="1" s="1"/>
  <c r="WZT8" i="2"/>
  <c r="C18" i="1" s="1"/>
  <c r="WZU8" i="2"/>
  <c r="O18" i="1" s="1"/>
</calcChain>
</file>

<file path=xl/sharedStrings.xml><?xml version="1.0" encoding="utf-8"?>
<sst xmlns="http://schemas.openxmlformats.org/spreadsheetml/2006/main" count="300" uniqueCount="182">
  <si>
    <t>QUESTÃO</t>
  </si>
  <si>
    <t>UNIDADE</t>
  </si>
  <si>
    <t>RESPOSTA</t>
  </si>
  <si>
    <t>Unidade 03</t>
  </si>
  <si>
    <t>.</t>
  </si>
  <si>
    <t>CODE</t>
  </si>
  <si>
    <t>Buscar com acentos?</t>
  </si>
  <si>
    <t>Frase especifica? (S/N)</t>
  </si>
  <si>
    <t>N</t>
  </si>
  <si>
    <t>Code</t>
  </si>
  <si>
    <t>Query</t>
  </si>
  <si>
    <t>#</t>
  </si>
  <si>
    <t>Question</t>
  </si>
  <si>
    <t>Answer</t>
  </si>
  <si>
    <t>Locate</t>
  </si>
  <si>
    <t xml:space="preserve"> </t>
  </si>
  <si>
    <t>UND</t>
  </si>
  <si>
    <t>Localizar Frase especifica? (S/N)</t>
  </si>
  <si>
    <t>Normal</t>
  </si>
  <si>
    <t>Foram Localizadas Três Questões! 🙃</t>
  </si>
  <si>
    <t>More</t>
  </si>
  <si>
    <t xml:space="preserve">😐 Seja mais específico!	</t>
  </si>
  <si>
    <t>Lost</t>
  </si>
  <si>
    <t>MSG</t>
  </si>
  <si>
    <t>🥴 Sem Questões Localizadas.</t>
  </si>
  <si>
    <t>Foi Localizada uma Questão! 😀</t>
  </si>
  <si>
    <t>Foram Localizadas Duas Questões! 😆</t>
  </si>
  <si>
    <t>Unidade 01</t>
  </si>
  <si>
    <t>Unidade 02</t>
  </si>
  <si>
    <t>Unidade 04</t>
  </si>
  <si>
    <t>Os avanços realizados pela inteligência artificial têm gerado mudanças na forma como os serviços ou produtos serão oferecidos aos clientes. Cada vez mais, veremos soluç</t>
  </si>
  <si>
    <t>S</t>
  </si>
  <si>
    <t>Leia o trecho a seguir:“Uma breve história da evolução das comunicações móveis no mundo é útil para apreciarmos o enorme impacto que o Rádio-Celular e os Serviços de Comunicação terão sobre todos nós no decorrer das próximas décadas. Isso também é útil para um iniciante no setor de rádio- celular entender o grande impacto que as agencias reguladoras do governo e os concorrentes na prestação destes serviços exercem na evolução de novos sistemas, serviços e tecnologias sem fio.”Fonte: RAPPAPORT, Theodore S. Comunicações Sem Fio: Princípios e Práticas. 2ª edição. São Paulo. Pearson Prentice Hall, 2009. Página 1. O trecho acima fala da evolução das comunicações móveis no mundo. Através das informações abordadas no texto e baseando-se no conteúdo estudado, é possível afirmar que a evolução da Comunicação sem Fio ocorre, dentre vários aspectos, por conta do:</t>
  </si>
  <si>
    <t>melhoramento no desenvolvimento de circuitos digitais e radiofrequência, o uso de tecnologias e os métodos de comunicação digital.</t>
  </si>
  <si>
    <t>Leia o trecho a seguir: “O primeiro passo é entender o modelo de negócio: como planejar e monetizar o serviço que se quer presto pelo aplicativo. O segundo passo é fazer um protótipo do App, desenhando no papel, telinha por telinha. E o terceiro passo: mostrar o protótipo para pessoas que usariam o serviço.”Fonte: GLOBO.COM. Veja dicas de como criar um aplicativo para smartphone. Disponível em: https://g1.globo.com/google/amp/economia/pme/pequenas-empresas-grandes-negocios/noticia/2019/05/19/veja-dicas-de-como-criar-um-aplicativo-para-smartphone.ghtml. Acesso em: 23 Set. 2019.O trecho acima trata das etapas a serem realizadas para o desenvolvimento de aplicativos. Considerando essas informações e o conteúdo estudado, analise as guias disponíveis e a protipação do aplicativo associando-os com as suas respectivas características: 1. IOS Human Interface Guidelines2. Android Styleguide3. Windows Phone Design Guidelines4. MockFlow(  ) Bastante focado no seu layout, se comparado com o guia da Apple, mesmo com o nível de compatibilidade equivalente.( ) Baseia-se em princípios básicos relacionados aos detalhes, rapidez, simplificação.( ) Disponibiliza uma variedade de dicas de como adequar as aplicações para serem aprovadas na “App Store”.( ) Produto criado pela Adobe Air é considerada como um dos instrumentos aplicados para o processo de prototipação direcionados para dispositivos móveis. Agora, assinale a alternativa que apresenta a sequência correta:</t>
  </si>
  <si>
    <t>2, 3, 1, 4</t>
  </si>
  <si>
    <t>Leia o trecho a seguir:“Muitas empresas têm feito dos aplicativos o seu principal negócio e meio de comunicação com o cliente. Mas quais são as habilidades necessárias para se desenvolver um aplicativo Android do zero? Há algumas linguagens de programação que são mais indicadas do que outras para a tarefa, ao mesmo tempo, vale lembrar que é preciso um roteiro bem estruturado para não cometer os erros mais comuns ao desenvolvê-lo.”Fonte: COMPUTERWORLD. As 6 melhores linguagens de programação para desenvolver um app Android. Disponível em: https://computerworld.com.br/2019/09/08/as-6-melhores-linguagens-de-programacao-para-desenvolver-um-app-android/. Acesso em: 23 Set. 2019.O trecho acima apresenta a Importância das linguagens de programação para o Sistema Android. A partir dessas informações e do conteúdo estudado, a principal linguagem de programação empregada para o desenvolvimento de aplicações direcionadas à Plataforma Android é:</t>
  </si>
  <si>
    <t>Java.</t>
  </si>
  <si>
    <t>Leia o trecho a seguir:“Se você recebe benefício da Previdência Social já deve saber que todo ano precisa provar que está vivo. Se isso não for feito, o pagamento pode ser suspenso. A novidade é que, ainda este ano, a prova de vida pode ser feita pelo telefone celular, se o beneficiário tiver um aparelho mais moderno. Basta abrir o aplicativo “Meu INSS” e usar a impressão digital ou o reconhecimento facial, da mesma forma que usa para desbloquear a tela do celular. O sistema de reconhecimento biométrico do INSS foi desenvolvido pela Dataprev. ”Fonte: CALEBE, Josué. Prova de vida do INSS poderá ser feita pelo celular. Disponível em: https://www.radioculturafoz.com.br/2019/09/23/prova-de-vida-do-inss-podera-ser-feita-pelo-celular. Acesso em: 23 Set. 2019.O trecho acima trata das possibilidades que os aplicativos instalados nos dispositivos móveis proporcionam para auxiliar o cotidiano das pessoas. A partir dessas informações e do conteúdo estudado, é possível afirmar que os sistemas de Rádio Celular e Comunicações portátil e móvel:</t>
  </si>
  <si>
    <t>estarão mais alinhadas às demandas do consumidor no que se refere aos avanços tecnológicos na área de processamento.</t>
  </si>
  <si>
    <t>Leia o trecho a seguir:“Voltado para pequenos negócios, a ferramenta ZeroPaper gera gráficos e relatórios, indicando o que está consumindo mais recursos. Os dados ficam disponíveis em dispositivos móveis e na plataforma web. O Dropbox, por exemplo, permite salvar arquivos que podem ser visualizados em qualquer lugar. ” Fonte: O GLOBO. Dez aplicativos essenciais para micro e pequenos empresários. Disponível em: https://oglobo.globo.com/economia/pequenos-e-medios-negocios/dez-aplicativos-essenciais-para-micro-pequenos-empresarios-13989296. Acesso em: 23 Set.. 2019.O trecho acima trata de um dos mais importantes aplicativos disponíveis nas micro e pequenas empresas. Assim, considerando as informações apresentadas e os conteúdos estudados, podemos afirmar que os aplicativos para dispositivos móveis:</t>
  </si>
  <si>
    <t>são direcionados para a solução de questões mais peculiares no ambiente corporativo.</t>
  </si>
  <si>
    <t>Leia o trecho a seguir: “A tecnologia é uma aliada das PME’s. Ao integrar soluções móveis, o pequeno empresário capacita seus colaboradores a entregar os melhores resultados. Se um funcionário atua o dia inteiro fora da sede, por exemplo, na captação de clientes, em reuniões com fornecedores ou na equipe de vendas, ele precisa ter seus equipamentos integrados ao sistema operacional da empresa para cumprir suas tarefas com excelência e rapidez ”Fonte: GLOBO.COM. Convergência entre dispositivos móveis: por que adotar na pequena empresa? Disponível em: https://g1.globo.com/economia/pme/pequenas-empresas-grandes-negocios/especial-publicitario/dell/noticia/convergencia-entre-dispositivos-moveis-por-que-adotar-na-pequena-empresa.ghtml Acesso em: 23. Set. 2019.O trecho acima trata da importação dos dispositivos móveis na solução de problemas ligados às pequenas empresas. Assim, considerando os conteúdos, analise as afirmativas a seguir sobre as soluções mais importantes para o desenvolvimento de aplicações de dispositivos portáteis e móveis: I - O ADOBE AIR é definido como uma plataforma para o desenvolvimento e execução de aplicativos construídos em HTML, por exemplo, independente do ambiente computacional.  II - O BlackBerry é um aplicativo focado no mercado público onde a sua construção pode ser realizada em linguagem Java.III - Symbian consiste em um sistema operacional privado (NOKIA) desenvolvido para smartphones.  IV - Windows Phone é um sistema operacional criado pela Google e possibilita o desenvolvimento de aplicações com linguagens Python.Está correto apenas o que se afirma em:</t>
  </si>
  <si>
    <t>I e III.</t>
  </si>
  <si>
    <t>Leia o trecho a seguir: “— A vantagem é a flexibilidade de acesso de qualquer lugar, inclusive por dispositivos móveis — diz Davidson Boccardo, diretor dos Green Hat Labs, pertencentes à Clavis Segurança da Informação. — A desvantagem é não ter certeza de como esses dados estão sendo protegidos, não saber que tipo de normas e gestão são empregadas pela empresa. ”Fonte: MACHADO, André. Guardados na ‘nuvem’, arquivos não se perdem. Disponível em: https://oglobo.globo.com/economia/tecnologia/guardados-na-nuvem-arquivos-nao-se-perdem-23232732. Acesso em: 23 Set. 2019.O trecho acima traz as vantagens e desvantagens do acesso de dados, inclusive por meio dos dispositivos móveis. Com base nessas informações e no conteúdo estudado, pode-se afirmar que o arquivamento permanente de dados está relacionado à:</t>
  </si>
  <si>
    <t>integridade dos dados.</t>
  </si>
  <si>
    <t>Leia o trecho a seguir:“Sem muito alarde, uma nova transformação começou a acontecer neste ano com o lançamento de smartphones com telas que podem ser dobradas ao meio. É como se a pessoa tivesse dois celulares, colocados um sobre o outro. Quando abertos na horizontal, eles formam uma única tela grande, que tem quase o tamanho de um tablet. Fechados, eles podem ser usados com uma mão só e cabem no bolso, como um celular qualquer.”Fonte: AGRELA, Lucas. Tela maior e dobrável é a aposta do momento nos smartphones. Disponível em https://exame.abril.com.br/revista-exame/tela-maior-e-dobravel/. Acesso em: 23 Set.. 2019.O trecho acima trata das evoluções físicas dos smartphones ao longo dos anos e as suas características atuais. Considerando essas informações e o conteúdo estudado, podemos afirmar que os dispositivos móveis disponibilizam uma série de características físicas relacionadas, dentre outros aspectos, ao:</t>
  </si>
  <si>
    <t>modelo do Computador, Nível de Mobilidade e flexibilidade.</t>
  </si>
  <si>
    <t>Leia o trecho a seguir:“O Android é um sistema operacional projetado para dispositivos móveis baseado no núcleo Linux. Esse sistema operacional foi inicialmente desenvolvido pela empresa Android Inc., mas, em 2005, a empresa Google o comprou. Em 2008 foi lançado o primeiro dispositivo comercial com Android.”Fonte: Scheffer, Hudson Cadan. Desenvolvimento para dispositivos Móveis. Editora e Distribuidora S.A, 2018. Londrina- Paraná. Página 10.O trecho cita o histórico do sistema Android. Considerando as informações apresentadas e os conteúdos estudados, é possível afirmar que o Android é:</t>
  </si>
  <si>
    <t>uma plataforma desenvolvida para os dispositivos móveis, cuja principal característica é ser Open Source, ou seja, aberta e livre para a utilização.</t>
  </si>
  <si>
    <t>Leia o trecho a seguir: “O Android SDK é responsável pelo gerenciamento das plataformas disponíveis para o desenvolvimento dos aplicativos no Android. Com esta aplicação, você poderá realizar o download das plataformas, de acordo com a sua necessidade.”Fonte: PLOTZE, Rodrigo. Programação para Dispositivos Móveis. 1ª edição. SESES. Rio de Janeiro, 2017.Página 18. O trecho acima apresenta as características de uma das plataformas utilizadas para o desenvolvimento do Android. A partir dessas informações e do conteúdo estudado, após baixar o Android SDK é necessário verificar, dentre outros aspectos:</t>
  </si>
  <si>
    <t>certificar de que a opção Start SDK Manager está devidamente marcada.</t>
  </si>
  <si>
    <t>“A forma de configurar o gerenciamento avançado dos dispositivos Android e iOS é diferente. Nos dispositivos Android, é necessário ativar o Gerenciamento de aplicativos Android e, nos iOS, é preciso configurar um Apple Push Certificate. Os usuários com dispositivos Android e iOS precisam instalar o aplicativo Device Policy ou um perfil para que você possa gerenciá-los. ”Fonte: GOOGLE. Configurar o Gerenciamento avançado de dispositivos móveis: Sobre o Gerenciamento avançado de dispositivos móveis Disponível em: https://support.google.com/a/answer/6328699?hl=pt-BR. . Acesso em: 23 Set. 2019.O trecho acima trata das formas distintas em que é realizado o gerenciamento dos dispositivos móveis. Assim, considerando as informações apresentadas e os conteúdos estudados, analise o conjunto de recursos às empresas oferecidos pelo MDM a seguir e associe-os com suas respectivas características.1. Configuração Centralizada dos Dispositivos2. Medidas de Segurança dos Aparelhos3. Criptografia 4. Limpeza e Bloqueio de Dispositivos( ) Atua contra as possíveis ameaças sistêmicas, como os malwares, ou algum aplicativo classificado como mal-intencionados;( ) São realizados remotamente, auxiliando em situações de perda ou roubo de aparelhos.( ) É realizada nos dados e eleva o nível de confidencialidade e privacidade destes recursos. ( ) Não leva em consideração possíveis diferenças entre os sistemas operacionais adotados. Agora, assinale a alternativa que apresenta a sequência correta:</t>
  </si>
  <si>
    <t>2, 4, 3, 1</t>
  </si>
  <si>
    <t>Leia o trecho a seguir:“O aplicativo descobriu no início deste mês a falha que permitia que invasores inserissem o vírus e executassem códigos em dispositivos móveis. Informou ainda que fez alterações em sua infraestrutura no fim da semana passada para impedir que os ataques ocorram, acrescentando que apenas um número seleto de usuários parece ter sido alvo do vírus. ”Fonte: O GLOBO. WhatsApp pede que usuário atualize aplicativo após detectar falha que permite acesso de hacker a celulares. Disponível em: https://oglobo.globo.com/economia/tecnologia/whatsapp-pede-que-usuario-atualize-aplicativo-apos-detectar-falha-que-permite-acesso-de-hacker-celulares-23663379. Acesso em: 23 Set.. 2019.O trecho acima trata das possíveis falhas que podem ocorrer nos aplicativos presentes nos dispositivos móveis. Considerando essas informações e o conteúdo estudado, é possível afirmar que um dos aspectos específicos aos dispositivos móveis que podem se tornar atrativos para os hackers são:</t>
  </si>
  <si>
    <t>o extensivo número de aplicações desenvolvidos por terceiros.</t>
  </si>
  <si>
    <t>Leia o trecho a seguir:“Do ponto de vista técnico, o 3G trabalha visando a transmissão de dados de voz (tipo áudios no WhatsApp) e serviços na internet (navegação de sites, downloads e uso de aplicativos online). É uma conexão mais rápida do que a do 2G.”Fonte: CRUZ, Bruna Souza. 3G, 4G e 5G: entenda a tecnologia por trás da conexão do seu celular. Disponível em: https://www.uol.com.br/tilt/noticias/redacao/2018/10/18/entenda-a-tecnologia-por-tras-do-3g-4g-e-5g.htm. Acesso em: 23 Set. 2019.O trecho acima cita os aspectos da tecnologia 3G A partir dessas informações e do conteúdo estudado, pode-se concluir que a evolução tecnológica do 3G se caracteriza por:</t>
  </si>
  <si>
    <t>inserir o conceito de HSPA e HSPA+ disponibilizam velocidades diferentes e que variam o sinal e cobertura ofertada pela operadora.</t>
  </si>
  <si>
    <t>Leia o trecho a seguir:“É muito comum acessar um site no celular e descobrir que o texto aparece muito pequeno, os links, minúsculos, e o conteúdo impossível de visualizar a contento sem precisar rolar a tela na horizontal. Esses são sinais de que o site não é compatível com dispositivos móveis, o que pode levar a uma experiência frustrante. A nova iniciativa educativa do Google visa a ajudar os usuários a descobrir com antecedência quais sites oferecem uma boa experiência de navegação em dispositivos móveis.”Fonte: TEIXEIRA, Carlos Alberto. Google faz campanha para webmasters adequarem seus sites a dispositivos móveis.  Disponível em: https://oglobo.globo.com/economia/google-faz-campanha-para-webmasters-adequarem-seus-sites-dispositivos-moveis-14804387 Acesso em: 23 Set. 2019.O trecho acima apresenta sugestões para que os sites consigam adaptar as suas páginas para os dispositivos móveis e facilitar a utilização por parte dos usuários. Considerando essas informações e o conteúdo estudado sobre os aspectos mais comuns do usuário de dispositivos móveis, analise as afirmativas a seguir e assinale V para a (s) verdadeira (s) e F para a (s) falsa (s):I. ( ) O tamanho e a força do usuário pouco influencia no nível de interação com o dispositivo móvel.II. ( ) A flexibilidade e destreza são aspectos relacionados ao ambiente onde o dispositivo móvel está inserido. III. ( ) A falta de conhecimento do usuário é algo que vai de encontro aos princípios dos dispositivos móveis, que são a usabilidade e simplicidade.IV. ( ) Os dispositivos móveis apresentam um nível de transportabilidade extremamente fácil à mão. Agora, assinale a alternativa que apresenta a sequência correta:</t>
  </si>
  <si>
    <t>F, F, V, V.</t>
  </si>
  <si>
    <t>Leia o trecho abaixo: “Do executivo ao catador de recicláveis: muita gente já não consegue viver sem aplicativos. Eraldo Francisco, de 50 anos, conseguiu dobrar a sua renda e trabalhar menos usando o app Cataki, que indica onde há material reciclável.” Fonte: ESPECIAIS G1. Tudo num clique: a vida na era dos apps. Disponível em: http://especiais.g1.globo.com/economia/tecnologia/a-vida-na-era-dos-apps/. Acesso em: 23 set. 2019.Esse trecho refere-se à importância dos aplicativos no cotidiano das pessoas, o que representa uma evolução tecnológica no uso dos dispositivos móveis. A partir dessas informações e do conteúdo estudado a respeito da introdução dos dispositivos móveis podemos afirmar que para a evolução dos dispositivos móveis ocorrer leva-se em consideração o fato:</t>
  </si>
  <si>
    <t>de que no período em que os mainframes foram utilizados, entre os anos 60 e 80, o acesso era feito por meio de terminais de tamanhos e pesos elevados.</t>
  </si>
  <si>
    <t>Leia o trecho a seguir:“A solução criada compartilha, de forma criptografada, informações de dispositivos móveis, como smartphones e tablet’s, usados em transações bancárias. Assim, se um celular de um usuário for roubado, por exemplo, basta comunicar ao banco e, por meio do blockchain, rapidamente a informação do roubo será espalhada para que as outras instituições tenham conhecimento do fato e o dispositivo não seja utilizado maliciosamente.”Fonte: FAUSTINO, Rafael. Febraban cria solução em Blockchain para verificar segurança de dispositivos móveis.  Disponível em: https://epocanegocios.globo.com/Tecnologia/noticia/2018/06/febraban-cria-solucao-em-blockchain-para-verificar-seguranca-de-dispositivos-moveis.html. Acesso em: 23 Set. 2019.O trecho acima traz algumas das soluções adotadas para oferecer mais segurança aos dados disponíveis nos dispositivos móveis. A partir dessas informações e do conteúdo estudado a respeito, é possível definir que o uso de um dispositivo móvel requer, dentre outros aspectos:</t>
  </si>
  <si>
    <t>a instalação de um programa Antivírus e um Sistema Operacional Atualizado.</t>
  </si>
  <si>
    <t>Leia o trecho abaixo:“O eSIM oferece uma experiência em transmissão digital aos usuários, vindo para gerenciar a conectividade celular para empresas. A equipe de TI estará apta a fornecer, implantar e gerenciar a conectividade celular mediante provedores de Gerenciamento de Dispositivos Móveis (MDM) como o Intune da Microsoft.”Fonte: TERRA. Idemia faz parceria com Microsoft a fim de facilitar o Gerenciamento E-sim para Dispositivos com Windows 10. Disponível em https://www.terra.com.br/noticias/dino/idemia-faz-parceria-com-microsoft-a-fim-de-facilitar-o-gerenciamento-esim-para-dispositivos-com-windows-10-enterprise,a20672feaba3abcc0f28063d1ed2c690npcqrkyh.html. Acesso em: 23 Set. 2019.O trecho acima trata da parceria firmada da IDEMIA com a Microsoft visando facilitar o Gerenciamento de Dispositivos Móveis. Considerando essas informações e o conteúdo estudado, é possível afirmar que o MDM é:</t>
  </si>
  <si>
    <t>um plano de ação feito pelas organizações visando, dentre outros aspectos, a celeridade na implantação de recursos de segurança dos dispositivos móveis.</t>
  </si>
  <si>
    <t>Leia o trecho a seguir:“As redes móveis de longo alcance incluem as tecnologias de redes sem fio caracterizadas por possuir alcance em áreas extensas e que estão baseadas nos padrões 3GPP (Third Generation Partnership Project), IEEE 802.16 e tecnologias legadas (2G). Fazem parte também as tecnologias viabilizadoras da quinta geração móvel (5G).”Fonte: CPQD. Comunicações Sem Fio: Suportando as demandas da conectividade móvel. Disponível em: https://www.cpqd.com.br/inovacao/comunicacoes-sem-fio/. Acesso em: 23 Set. 2019.O trecho acima trata das possibilidades que as tecnologias de rede sem fio podem oferecer ao usuário. A partir dessas informações e do conteúdo estudado, podemos definir que as Tecnologias Habilitadoras se caracterizam por:</t>
  </si>
  <si>
    <t>possibilitarem a sua implantação da comunicação sem fio em todos os lugares.</t>
  </si>
  <si>
    <t>Leia o trecho a seguir:“Essencialmente, a tecnologia celular divide áreas geográficas em células. Cada célula hospeda uma estação base, assim como uma torre com uma antena no topo. Dependendo da tecnologia, uma torre celular pode captar um sinal a até 40 quilômetros de distância.”Fonte: ESTES, Adam Clark. Como começou essa história de transmitir informações sem fio. Disponível em: https://gizmodo.uol.com.br/como-comecou-essa-historia-de-transmitir-informacoes-sem-fio/. Acesso em: 23 Set. 2019.O trecho acima apresenta as vantagens que a tecnologia celular pode oferecer. A partir dessas informações e do conteúdo estudado, é possível afirmar que a estação-base é:</t>
  </si>
  <si>
    <t>uma estação fixada em um sistema de rádio móvel para comunicação por rádio com estações móveis.</t>
  </si>
  <si>
    <t>Leia o trecho a seguir:“Normalmente, os sistemas de paging são usadas para notificar um assinante da necessidade de ligar determinado número de telefone ou viajar para uma local conhecido para receber mais instruções. O sistema de paging transmite a página para a área de serviço usando estações-base que enviam a página em uma portadora de rádio.”Fonte: RAPPAPORT, Theodore S. Comunicações Sem Fio: Princípios e Práticas. 2ª edição. São Paulo. Pearson Prentice Hall, 2009. Página 7.Considerando as informações apresentadas e os conteúdos estudados, é possível afirmar que os sistemas de Paging:</t>
  </si>
  <si>
    <t>são sistemas de comunicação que enviam mensagens curtas, a um determinado assinante, de forma numérica, alfanumérica ou voz.</t>
  </si>
  <si>
    <t>Leia o trecho a seguir: “O desenvolvimento do aplicativo se dará com o software Android Studio na linguagem de programação Kotlin, a qual vem mostrando ser tendência no cenário de programadores, buscando trazer uma nova tecnologia para dentro da Empresa Brasileira de Pesquisa Resumos Expandidos XIV Mostra de Estagiários e Bolsistas 65 Agropecuária (Embrapa). ”Fonte: OLIVEIRA, Emanuel de Souza. EVANGELISTA, Sílvio Roberto Medeiros. ROMANI, Luciana Alvim Santos. Aplicativo para consulta interativa e otimizada ao Zoneamento Agrícola de Risco Climático. Disponível em: https://www.alice.cnptia.embrapa.br/alice/bitstream/doc/1101342/1/Mostra20186367.pdf. Acesso em 01 Out. 2019. O trecho acima apresenta um dos benefícios do uso da linguagem Kotlin. A partir dessas informações e do conteúdo estudado sobre o uso do Kotlin como linguagem alternativa para o Android, é possível verificar que uma das principais vantagens oferecidas pelo Kotlin é/são a/as:</t>
  </si>
  <si>
    <t>imutabilidade.</t>
  </si>
  <si>
    <t>Leia o trecho a seguir:“A linguagem JavaScript também tem suporte nativo para arrays, embora sua primeira versão tenha sido lançada sem esse suporte. Um array armazena valores sequencialmente, todos ao mesmo tempo.”Fonte: BRONER, Loiane. Estrutura de Dados e Algoritmos em JavaScript. São Paulo: Novate. 2017. p. 60.  Considerando as informações apresentadas e os conteúdos estudados sobre os Arquivos de Código Java, é possível afirmar que os arrays são:</t>
  </si>
  <si>
    <t>estruturas usadas para ajustar várias partes dos dados ou variáveis.</t>
  </si>
  <si>
    <t>Leia o trecho a seguir:“JavaScript foi criada na Netscape na fase inicial da Web e, tecnicamente, ‘JavaScript’ é marca registrada, licenciada pela Sun Microsystems (Agora Oracle), usada para descrever a implementação da linguagem pelo Netscape (Agora Mozilla). ” FONTE: David Flanagan. JavaScript: O Guia Definitivo. Porto Alegre: Bookman. 2013. p. 2.A partir dessas informações e do conteúdo estudado sobre Criação de Aplicativos Android com a Linguagem Java, é possível afirmar que o JavaScript e o Java se assemelham no que se refere aos:</t>
  </si>
  <si>
    <t>métodos, variáveis, operadores e objetos.</t>
  </si>
  <si>
    <t>Leia o trecho abaixo:“É um kit de desenvolvimento que permite aos programadores desenvolverem aplicações em Java. A empresa Oracle Corporation o fornece para download, com suporte a diversos sistemas operacionais”. Fonte: SCHEFFER, Hudson. Desenvolvimento para Dispositivos Móveis. Londrina: Editora e Distribuidora Educacional. S.A. 2018. p. 11.Considerando essas informações e o conteúdo estudado sobre as configurações do sistema Android, é possível afirmar que o trecho acima se refere à definição de:</t>
  </si>
  <si>
    <t>JDK.</t>
  </si>
  <si>
    <t>Leia o trecho a seguir: “Vale a pena citar que as versões mais recentes do iOS podem ou não ser compatíveis com os hardwares mais antigos dos dispositivos da Apple, servindo como um guia inicial para saber qual versão do sistema operacional é suportada por cada hardware.”Fonte: MILANI, André. Programando para iPhone e iPad: aprenda a construir aplicativos para o iOS. São Paulo: Novatec Editora. 2012. p. 16.O trecho acima trata das possíveis limitações aos quais a arquitetura iOS está sujeita. Assim, e considerando os conteúdos sobre as Plataformas de Desenvolvimento Móvel, analise as afirmativas a seguir sobre as outras restrições das aplicações de iOS:I. Quanto ao limite de processamento, cabe ao desenvolvedor conhecer os dispositivos e quais os seus recursos mais importantes para ser utilizados de maneira apropriada e uma aplicação executada com sucesso. II. O tempo de resposta normalmente ocorre quando uma aplicação apresentar variados tamanhos de tela. Esses valores são considerados ao longo do desenvolvimento de suas aplicações.  III. No que se refere ao tamanho de memória, pode-se afirmar que esses aspectos podem ser distintos entre os dispositivos, porem apresenta capacidade menor que os computadores de mesa, por exemplo.IV. A resolução gráfica ocorre quando os dispositivos levam alguns segundos para responder certas ocasiões, em que o iOS entende que a aplicação se encontra em estado de ausência de resposta e pode interromper a sua execução.Está correto apenas o que se afirma em:</t>
  </si>
  <si>
    <t>Leia o trecho abaixo:“O processo de instalação e gerenciamento do SDK é realizado no ambiente do Android Studio por meio do SDK Manager (Gerenciador do SDK). Em alguns momentos, será necessário acessar o SDK Manager para fazer download de novos componentes ou atualizar os componentes já instalados. ”Fonte: SCHEFFER, Hudson. Desenvolvimento para Dispositivos Móveis. Londrina: Editora e Distribuidora Educacional. S.A. 2018. p. 12.O trecho acima trata do gerenciamento do SDK. Considerando essas informações e o conteúdo estudado sobre as Configurações do sistema Android, é possível afirmar que SDK se caracteriza por:</t>
  </si>
  <si>
    <t>ser um software que possibilita aos programadores desenvolver de forma nativa os aplicativos direcionados para a plataforma Android.</t>
  </si>
  <si>
    <t>Leia o trecho a seguir:“O add-on Google API’s é uma extensão do Android SDK que disponibiliza essencialmente uma API externa para trabalhar com mapas até de outros componentes e serviços do Google que rodam no Android.”Fonte: MONTEIRO, João Bosco. GOOGLE ANDROID. Casa do Código. São Paulo. 2014. p. 119. O trecho acima trata um dos modelos de extensão SDK utilizado. Assim, considerando as informações apresentadas e os conteúdos estudados sobre Extensão do API no SDK, podemos afirmar que o Rapanui é uma API:</t>
  </si>
  <si>
    <t>semelhante à API do Corona, por apresentar uma escrita do código simples.</t>
  </si>
  <si>
    <t>Leia o trecho a seguir:“Por padrão, o IDE a configura como ‘Android’, assim são exibidos apenas os arquivos mais importantes para o desenvolvimento do projeto. Para ver a estrutura real de arquivos, selecione a opção ‘Project’.”Fonte: SCHEFFER, Hudson. Desenvolvimento para Dispositivos Móveis. Londrina: Editora e Distribuidora Educacional. S.A. 2018. p. 256.A partir dessas informações e do conteúdo estudado a respeito da criação do primeiro projeto, podemos definir que a filtragem dos arquivos é:</t>
  </si>
  <si>
    <t>uma lista suspensa que apresenta uma série de possibilidades que alteram a maneira de exibir os arquivos do projeto.</t>
  </si>
  <si>
    <t>Leia o trecho abaixo:“O Gradle é um sistema open-source de automação de build que segue os mesmos conceitos de ferramentas como Ant e Marven, ambos em Apache Foundation. Entretanto, em vez de utilizar arquivos XML para definir o processo buil, o Gradle utiliza uma DSL. ”Fonte: GLAUBER, Nelson. Dominando o Android com Kotlin. São Paulo: Novatec Editora. 2019. 3ª Edição. p. 29. Através das informações abordadas no texto e baseando-se no conteúdo estudado sobre a criação do primeiro projeto, é possível afirmar que a principal função do Gradle é:</t>
  </si>
  <si>
    <t>agrupar todas as etapas e recursos básicos para o desenvolvimento de um arquivo “apk”.</t>
  </si>
  <si>
    <t>Leia o trecho a seguir:“Float: Palavra-Chave Java usada para definir uma variável primitiva com um número de ponto flutuante de 4 bytes de armazenamento. A classe wrapper correspondente é o Float”.Fonte: FINEGAN, Edward, LIGUORI, Robert. OCA Java SE 8: Guia de Estudos para o Exame 1Z0-808. Porto Alegre: Bookman. 2018. p. 498. O trecho acima apresenta a definição do “float”. A partir dessas informações e do conteúdo estudado sobre Aprendendo Java, é possível afirmar que a palavra-chave “float” indica:</t>
  </si>
  <si>
    <t>a apresentação de um valor decimal, entretanto as casas decimais se caracterizam pela “flutuação”.</t>
  </si>
  <si>
    <t>Leia o trecho a seguir:“Kotlin é uma linguagem de programação desenvolvidas pela JetBrains, mems empresa que criou o Android Studio. Tem uma sintaxe muito simples e agradável, que é compilada para executar na JVM (Java Virtual Machine), portanto, proporciona interoperabilidade total com Java.”  Fonte: LECHETA. Ricardo R. Android Android essencial com Kotlin. São Paulo: Novatec. 2017. p. 35. A partir dessas informações e do conteúdo estudado sobre o uso do Kotlin como linguagem alternativa para o Android, é possível afirmar que a execução dos códigos Kotlin:</t>
  </si>
  <si>
    <t>ocorre de maneira similar ao Java, onde um conversor automatizado transfere os dados do Java para Kotlin com a mesma velocidade.</t>
  </si>
  <si>
    <t>Leia o trecho a seguir:“A declaração de uma variável não define nem garante o seu valor. Variáveis não inicializadas podem conter qualquer valor e, sendo assim, seu uso acidental pode conduzir a resultados estranhos, levando-nos a procurar problemas em outras partes do programa.”Fonte: JANDL JUNIOR, Peter. Curso básico de Linguagem C. São Paulo: Novatec. 2019. p. 2. Considerando essas informações e o conteúdo estudado sobre o Aprendendo Java, analise as linhas de código que tratam de uma declaração de variável e associe-as com suas respectivas características: 1) String. 2) Mensagem.3) Sinal de igualdade (=).4) Sinal ponto e virgula (;) .(  ) Podem expor letras, sublinhados ou número, entretanto não podem se iniciar por meio de um número.(  ) Caracteriza-se por ser um operador de “atribuição”, ou seja, pode ser usado para estabelecer valores e variáveis. (  ) Caractere utilizado para encerra a linha de código, ou seja, uma declaração em Java. (  ) A palavra inicial observada quando se declara uma variável é em relação ao tipo de dados, que traz a informação de qual modelo de dados a variável irá armazenar.Agora, assinale a alternativa que apresenta a sequência correta:</t>
  </si>
  <si>
    <t>2, 3, 1, 4.</t>
  </si>
  <si>
    <t>Leia o trecho a seguir:“Durante o processo de compilação, o Kit de Desenvolvimento de Software (SDK) executa a ferramenta Android Asset Packaging Tool - aapt (‘Ferramenta de Empacotamento de Recursos do Android’). Essa ferramenta se encarrega de procurar por arquivos e referências de recursos e, como resultado, a Classe R é gerada automaticamente.”Fonte: SCHEFFER, Hudson. Desenvolvimento para Dispositivos Móveis. Londrina: Editora e Distribuidora Educacional. S.A. 2018. p. 52.Considerando essas informações e o conteúdo estudado sobre a utilização do SDK no Android, analise as afirmativas a seguir e assinale V para a(s) verdadeira(s) e F para a(s) falsa(s).I. (  ) A classe principal é denominada de “TcgfGroup”, cuja principal função é implementar a performance geral dos componentes apresentados na tela.II. ( ) A classe classificada como “TcgfDisplayObject” possibilita a união de componentes visando o criação de elementos visuais com maior nível de complexidade.III. ( ) O TcgfInputManager” tem a função de abstrair o processo de analise dos eventos que adotam o toque ou clique de mouse e passam a entendê-los como gesto. IV. ( ) As telas “sensíveis ao toque” estão disponíveis desde os anos 80, porém a tecnologia do hardware adotada na época limitava a interação com o usuário.Agora, assinale a alternativa que apresenta a sequência correta:</t>
  </si>
  <si>
    <t>Leia o trecho a seguir:“Em seu núcleo (core), o GWT é um compilador especial que pode transformar Java em JavaScript, com um Runtime mínimo. Permite que você escreva sobretudo código Java padrão, então o compile par JavaScript para rodar em um browser ou outro ambiente HTML.” Fonte: MARINACCI, Joshua. Construindo Aplicativos Móveis com Java. São Paulo: Novatec. p. 14. A partir dessas informações e do conteúdo estudado sobre os Arquivos de Código Java, pode-se concluir que uma classe:</t>
  </si>
  <si>
    <t>estabelece um objeto e o seu funcionamento.</t>
  </si>
  <si>
    <t>Leia o trecho a seguir: “Se você instalou o Java 2 SDK, é provável que que tenha visto a execução do applet. O Java Plug-in pode ser instalado junto com o SDK e configurado para substituir o interpretador Java embutido na Internet Explore e em outros browsers.”Fonte: CADENHEAD. Rogers. Aprenda em 21 dias Java 2. Rio de Janeiro: Elsevier. 2005. p. 259.O trecho acima traz uma das funcionalidades do SDK. Com base nessas informações e no conteúdo estudado sobre as Alternativas de SDK para Desenvolvimento Multiplataforma, pode-se afirmar que os fatores principais que determinam a opção pelo SDK são:</t>
  </si>
  <si>
    <t>plataformas móveis que terão suporte e as linguagens de programação utilizadas no desenvolvimento.</t>
  </si>
  <si>
    <t>Leia o trecho abaixo: “O iOS foi desenvolvido pela Apple e sua execução é restrita aos hardwares construídos por ela. Portanto, somente os dispositivos da própria autora é que executam com sucesso o iOS. As versões mais atuais do iOS já possuem suporte para os novos hardwares embutidos nos mais recentes dispositivos móveis da Apple, entre eles, suporte para acelerômetro, giroscópio, câmera e GPS, entre outros recursos.” Fonte: MILANI, André. Programando para iPhone e iPad: aprenda a construir aplicativos para o iOS. São Paulo: Novatec Editora. 2012. p. 14.Esse trecho refere-se a uma das características do iOS. A partir dessas informações e do conteúdo estudado a respeito das Plataformas de Desenvolvimento Móvel, podemos afirmar que o iOS pode ser definido como:</t>
  </si>
  <si>
    <t>um sistema de características distintas desenvolvido para o mercado de dispositivos móveis, que possibilita, dentre outros aspectos, a ativação individual nesse dispositivo.</t>
  </si>
  <si>
    <t>Leia o trecho a seguir:“Considerando Java como a linguagem orientada a objetos do Android, já podemos aceitar alguns pontos fundamentais: Em Java, sempre estamos escrevendo código dentro de uma classe. Uma classe chama e/ou usa outra classe /objeto, e assim o programa segue funcionando. ”Fonte: QUERINO FILHO, Luis Carlos. Desenvolvendo o Primeiro Aplicativo Android. São Paulo: NOVATEC. 2014. p. 133.  O trecho acima trata dos aspectos fundamentais da linguagem Java. A partir dessas informações e do conteúdo estudado sobre Criação de Aplicativos Android com a Linguagem Java, podemos considerar que uma linguagem de programação Java apresenta como aspectos:</t>
  </si>
  <si>
    <t>Ser Orientada a Objetos e ser Tipada Estatisticamente.</t>
  </si>
  <si>
    <t>Leia o trecho a seguir:“Existem alguns recursos de aceleração de hardware que podem melhorar o desempenho do emulador. Antes de executar um aplicativo no emulador, você precisa criar um AVD (Android Virtual Device)”.Fonte: HARVEY Deitel, PAUL Deitel, ABBEY Deitel Android: Como programar. Porto Alegre: Bookman Editora, 2ª edição. 2015. p. 22.Considerando essas informações e o conteúdo estudado sobre as configurações do sistema Android, é possível afirmar que o AVD se caracteriza por:</t>
  </si>
  <si>
    <t>possibilitar a simulação e realização dos testes nos aplicativos que serão desenvolvidos.</t>
  </si>
  <si>
    <t>Leia o trecho a seguir: “As versões anteriores do Android SDK eram um arquivo completo de ferramentas, documentação e classes. A partir da versão 1.6 do SDK, o arquivo contém somente ferramentas – essencialmente um conjunto de ferramentas SDK Management. ”Fonte: ABLESON, W. Frank. Android em Ação. Rio de Janeiro: Elsevier. 2012. p. 594.O trecho acima traz as características de um Android SDK. Considerando essas informações e o conteúdo estudado sobre as Alternativas de SDK para Desenvolvimento Multiplataforma, analise as afirmativas a seguir e assinale V para a(s) verdadeira(s) e F para a(s) falsa(s).I. ( ) O Corona é um SDK que serve de um instrumento de suporte ao iOS e ao Android, porém apresenta recursos limitados em relação à sua estrutura. II. ( ) Gideros Studio apresenta uma API de nível alto e fácil utilização em bibliotecas para simulação de física adaptada às colisões, controle de mapas, dentre outros aspectos.III. ( ) Havia uma ausência de supote do Gideros em relação ao suporte da biblioteca Luasockets, que é visto como um aspecto essencial para realizar a Comunicação de Rede.IV. O Moai apresenta várias bibliotecas integradas e serviços. Além disso, ele oferece um código-fonte aberto.</t>
  </si>
  <si>
    <t>“Cada lançamento de versão do Android demanda meses até que o dispositivo móvel do usuário seja atualizado. Ao criar um projeto no Android Studio, o IDE fornece dados sobre a abrangência de usuários para cada versão disponível do sistema.”Fonte: SCHEFFER, Hudson. Desenvolvimento para Dispositivos Móveis. Londrina: Editora e Distribuidora Educacional. S.A. 2018. p. 15.Considerando essas informações e o conteúdo estudado sobre o Ambiente de Desenvolvimento Android Studio, podemos afirmar que os três componentes básicos para a instalação do Android Studio são, respectivamente:</t>
  </si>
  <si>
    <t>JDK, IDE e SDK.</t>
  </si>
  <si>
    <t>Leia o excerto a seguir:“Uma maneira de desenhar várias formas com XML é criar vários arquivos XML que representem formas diferentes. Uma maneira simples de fazer isso é alterar o arquivo xmldrawable.xml, que adiciona uma série de formas e as empilha verticalmente.”Fonte: ABLESON, W. et al. Android em ação. Rio de Janeiro: Elsevier, 2012.O trecho apresentado traz as características de um Drawable XML. Considerando essas informações e o conteúdo estudado sobre os elementos gráficos e animações com a API Graphics do Android, pode-se afirmar que o uso da Drawable XML do Android permite:</t>
  </si>
  <si>
    <t>a adoção do padrão retângulo, além de ser possível selecionar um padrão distinto, utilizando-se a tag type.</t>
  </si>
  <si>
    <t>Leia o trecho a seguir:“O arquivo AndroidManifest.xml existe na raiz do diretório do aplicativo e contém todas as relações projetadas entre um aplicativo específico e os Intents. Os arquivos AndroidManfest.xml agem como descritores de implementação de aplicativos Android.”Fonte: ABLESON, W. et al. Android em ação. Rio de Janeiro: Elsevier, 2012.O trecho apresentado trata da definição de um arquivo AndroidManifest.xml e suas funcionalidades. Considerando essas informações e o conteúdo estudado sobre os principais modelos de componentes Android, pode-se afirmar que o aplicativo, ao inserir um componente receiver dentro do arquivo AndroidManfest.xml, indica que:</t>
  </si>
  <si>
    <t>este aplicativo descreverá o nome inserido na classe BroadcastReceiver e seus IntentFilters.</t>
  </si>
  <si>
    <t>Leia o excerto a seguir:“O XML também define LayoutParams usando a convenção android:layout_[attribute], onde [attribute] se refere a um atributo de layout como largura ou altura. Além do layout, você também pode definir outros atributos relacionados à view em XML, como android:padding, que é análogo ao método setPadding().”Fonte: ABLESON, W. et al. Android em ação. Rio de Janeiro: Elsevier, 2012.O trecho apresentado discorre sobre as definições atribuídas ao arquivo XML. Considerando essas informações e o conteúdo estudado sobre os elementos gráficos e animações com a API Graphics do Android, pode-se afirmar que a tag padding tem a função de:</t>
  </si>
  <si>
    <t>determinar, dentre outros aspectos, o espaço existente entre os objetos na interface do usuário.</t>
  </si>
  <si>
    <t>Leia o excerto a seguir: “Foi projetado para bloquear uma área na tela para exibir um único item. Geralmente, deve ser usado para manter uma única exibição filho, porque pode ser difícil organizar as exibições filho de uma maneira escalável, para diferentes tamanhos de tela, sem que os filhos se sobreponham.”Fonte: DEVELOPERS. FrameLayout. Disponível em: &lt;https://developer.android.com/reference/android/widget/FrameLayout&gt;. Acesso em: 28 out. 2019. (Adaptado).O trecho apresentado traz as características de um modelo de layout. Considerando essas informações e o conteúdo estudado sobre os principais modelos de layout, pode-se afirmar que o gerenciador que disponibiliza todos os elementos em forma de pilha leva em consideração que o último elemento inserido e que se encontra no topo é o:</t>
  </si>
  <si>
    <t>FrameLayout</t>
  </si>
  <si>
    <t>Leia o excerto a seguir:“Cada subclasse LayoutParams apresenta a sua própria sintaxe para definir valores. Cada elemento denominado de ‘filho’ deve definir LayoutParams apropriados para o pai, embora possa também definir diferentes LayoutParams para os próprios filhos.”Fonte: DEVELOPERS. Layouts. Disponível em: &lt;https://developer.android.com/guide/topics/ui/declaring-layout?hl=pt-br&gt;. Acesso em: 28 out. 2019. Considerando essas informações e o conteúdo estudado sobre os principais modelos de layout, pode-se afirmar que os requisitos básicos que ajudam nas configurações e implementações dos layouts são:</t>
  </si>
  <si>
    <t>Match_Parent e Wrap_Content.</t>
  </si>
  <si>
    <t>Leia o excerto a seguir: “Intents e IntentFilters trazem o paradigma ‘clique aqui’ para o núcleo do uso (e desenvolvimento) de aplicativos móveis para a plataforma Android. [...] Um IntentFilter é uma declaração de capacidade e interesse em oferecer assistência àqueles em necessidade. Ele pode ser genérico ou específico em relação a quais Intents ele oferece seu serviço.”Fonte: ABLESON, W. et al. Android em ação. Rio de Janeiro: Elsevier, 2012.Considerando essas informações e o conteúdo estudado sobre o Intent de desenvolvimento Android, pode-se afirmar que o IntentFilter indica um campo denominado categoria que se caracteriza por:</t>
  </si>
  <si>
    <t>ajudar na classificação de uma determinada ação.</t>
  </si>
  <si>
    <t>Leia o excerto a seguir:“Se uma imagem diz mais que mil palavras, então uma animação deve dizer muito mais. O Android suporta vários métodos para criar animação, seja por meio de XML, por animações quadro a quadro XML do Android usando a API Graphics do Android ou por meio do suporte do Android para OpenGL ES.”Fonte: ABLESON, W. et al.  Android em ação. Rio de Janeiro: Elsevier, 2012.O trecho apresentado trata das funcionalidades da API Graphics do Android. Considerando essas informações e o conteúdo estudado sobre elementos gráficos e animações com a API Graphics do Android, analise os componentes disponíveis a seguir e associe-os com suas respectivas características.1) Pacote Android.Graphics.2) ShapeDrawable.3) RectShape.4) Método setBounds.( ) Através dele será possível acrescentar formas ao desenho criado.( ) Estabelece o limite no qual o usuário irá desenhar o retângulo utilizando o método draw.( ) Método onde é possível estabelecer formas para o desenho, a começar pelo código.( ) Disponibiliza todas as classes de nível mais baixo necessárias para que o usuário desenvolva elementos gráficos.Agora, assinale a alternativa que apresenta a sequência correta:</t>
  </si>
  <si>
    <t>2, 4, 3, 1.</t>
  </si>
  <si>
    <t>Leia o trecho a seguir: “Os Intents explícitos especificam qual aplicativo atenderá ao Intent, fornecendo o nome do pacote do aplicativo de destino ou o nome da classe de um componente totalmente qualificado. Normalmente, usa-se um Intent explícito para iniciar um componente no próprio aplicativo porque se sabe o nome de classe da atividade ou do serviço que se quer iniciar.”Fonte: DEVELOPERS. Intents e filtros de Intents. Disponível em: &lt;https://developer.android.com/guide/components/Intents-filters?hl=pt-br&gt;. Acesso em: 28 out. 2019.O trecho apresentado refere-se a um dos modelos de Intents utilizado no Android. Considerando essas informações e o conteúdo estudado sobre o Intent de desenvolvimento Android, pode-se afirmar que um Intent se refere:</t>
  </si>
  <si>
    <t>à navegação inovadora e codificação Android.</t>
  </si>
  <si>
    <t>Leia o excerto a seguir:“Não é difícil imaginar que uma experiência de usuário absolutamente única é possível com o Android por causa da variedade de Activitys com IntentFilters específicos instalados em cada dispositivo. Sua arquitetura é passível de atualização de diversos aspectos de uma instalação Android para fornecer funcionalidades e personalização sofisticadas.”Fonte: ABLESON, W. et al. Android em ação. Rio de Janeiro: Elsevier, 2012.Considerando essas informações e o conteúdo estudado sobre os principais modelos de componentes Android, pode-se afirmar que o uso de uma Activity está relacionado à:</t>
  </si>
  <si>
    <t>uma tela visível, pois existe uma relação individualizada entre uma Activity e uma tela de interface do usuário.</t>
  </si>
  <si>
    <t>Leia o excerto a seguir:“Se você já trabalhou com OpenGL, achará a implementação do OpenGL ES do Android razoavelmente simples. Você deve se lembrar, no entanto, que os telefones celulares, tablets e outros dispositivos móveis não têm o poder de processamento gráfico de um desktop.”Fonte: ABLESON, W. et al. Android em ação. Rio de Janeiro: Elsevier, 2012.O trecho apresentado trata das características ligadas ao uso da OpenGL e sua simplicidade de uso. Considerando essas informações e o conteúdo estudado sobre a apresentação da OpenGL e RenderScript do Android, pode-se afirmar que a Open GL ES é:</t>
  </si>
  <si>
    <t>a modalidade direcionada aos sistemas embarcados que estabelece uma API com características de diversas plataformas e linguagens.</t>
  </si>
  <si>
    <t>Leia o excerto a seguir:“Um ContentProvider pode usar qualquer forma de mecanismo de armazenamento de dados disponível na plataforma Android, incluindo arquivos, bancos de dados SQLite ou mesmo um mapa hash de memória se não for necessária a persistência dos dados. O ContentProvider é uma camada de dados que fornece abstração de dados para seus clientes e centraliza as rotinas de armazenamento e recuperação em um único local.”Fonte: ABLESON, W. et al. Android em ação. Rio de Janeiro: Elsevier, 2012.O trecho apresentado trata das funcionalidades de um ContentProvider e suas aplicações, de maneira geral. Considerando essas informações e o conteúdo estudado sobre os principais modelos de componentes Android, pode-se afirmar que o Contentprovider tem como um de seus aspectos:</t>
  </si>
  <si>
    <t>a inserção de uma série padronizada de métodos, possibilitando a um aplicativo o acesso a um arquivo de dados.</t>
  </si>
  <si>
    <t>Leia o excerto a seguir: “A conhecida classe Intent é usada para ativar BroadcastReceivers. Os parâmetros serão diferentes, dependendo de se você está iniciando uma Activity, um Service ou um BroadcastReceiver, mas é a mesma classe Intent usada por toda a plataforma Android.”Fonte: ABLESON, W. et al. Android em ação. Rio de Janeiro: Elsevier, 2012.O trecho apresentado trata do uso de uma Intent nos modelos que compõem um Android. Considerando essas informações e o conteúdo estudado sobre os principais modelos de componentes Android, analise os modelos disponíveis a seguir e associe-os com suas respectivas características.1) Activity.2) Service.3) BroadcastReceiver.4) ContentProvider .( ) Pode ser utilizado dentro de uma base periódica, ligado a um alarme de sistema, e posteriormente ser encerrado, quando a atividade for executada de maneira completa.( ) É utilizado caso o aplicativo deseje receber/efetuar chamadas telefônicas ou mensagens.( ) Modelo que apresenta interfaces do usuário replicando situações iniciadas pelo sistema ou pelo usuário.( ) Utilizado, dentre outros aspectos, quando um elemento do aplicativo necessita de dados provenientes de outros aplicativos.Agora, assinale a alternativa que apresenta a sequência correta:</t>
  </si>
  <si>
    <t>Leia o excerto a seguir:“Aplicativos para fazer slides permitem criar apresentações profissionais pelo celular, sem depender de um computador. Os usuários podem editar as páginas individualmente, selecionar templates prontos, mudar o layout e inserir textos, fotos e elementos gráficos.”Fonte: FERNANDES, R. Aplicativo para fazer slide: veja melhores apps para baixar no celular. 2019. Disponível em: &lt;https://www.techtudo.com.br/listas/2019/02/aplicativo-para-fazer-slide-veja-melhores-apps-para-baixar-no-celular.ghtml&gt;. Acesso em: 28 out. 2019.Considerando essas informações e o conteúdo estudado sobre os gerenciadores de layout, pode-se afirmar que os componentes gráficos são derivados:</t>
  </si>
  <si>
    <t>de subclasses das classes definidas como View e ViewGroup, pois servem de referência para o desenvolvimento dos layouts.</t>
  </si>
  <si>
    <t>Leia o excerto a seguir:“Embora o Android ofereça suporte para aceleração de hardware, alguns aparelhos e dispositivos que executam o Android tiveram problemas de desempenho com OpenGL ES no passado. Antes de embarcar em um projeto usando OpenGL, considere o hardware alvo e faça testes exaustivos para se certificar de que você não sobrecarregue o seu hardware com elementos gráficos OpenGL.”Fonte: ABLESON, W. et al. Android em ação. Rio de Janeiro: Elsevier, 2012.O trecho apresentado trata das limitações do OpenGL ES ocorridas no passado e suas possíveis soluções. Considerando essas informações e o conteúdo estudado sobre a apresentação da OpenGL e RenderScript do Android, pode-se afirmar que a OpenGL ES foi desenvolvida:</t>
  </si>
  <si>
    <t>pela Khronos Group e representa uma API espetacular para componentes gráficos nas versões 2D e 3D.</t>
  </si>
  <si>
    <t>Leia o excerto a seguir:“A atualização de Android em ação representa nosso esforço mais recente para proporcionar a cobertura de assuntos importantes do desenvolvimento Android, a saber: a expansão para o espaço do tablet com o Android 3x, bem como os avanços dos elementos gráficos e de mídia móveis, como o RenderScript.”Fonte: ABLESON, W. et al. Android em ação. Rio de Janeiro: Elsevier, 2012.Considerando essas informações e o conteúdo estudado sobre a apresentação da OpenGL e RenderScript do Android, pode-se afirmar que o RenderScript tem o objetivo de:</t>
  </si>
  <si>
    <t>auxiliar os seus desenvolvedores na busca de uma performance elevada, direcionada para operações gráficas.</t>
  </si>
  <si>
    <t>Leia o excerto a seguir:“[...] primeiro você vai criar uma classe que usa o Android para desenvolver uma superfície em branco para desenhar. Você vai usar os comandos OpenGL ES para desenhar um quadrado e um cubo animado na superfície. Para começar, abra um novo projeto chamado OpenGLSquare e crie uma Activity chamada OpenGLSquare.”Fonte: ABLESON, W. et al. Android em ação. Rio de Janeiro: Elsevier, 2012.O trecho apresentado evidencia os procedimentos para criar uma classe que utiliza o Android. Considerando essas informações e o conteúdo estudado sobre a apresentação da OpenGL e RenderScript do Android, pode-se afirmar que os conceitos essenciais do OpenGL ES:</t>
  </si>
  <si>
    <t>são utilizados para o desenvolvimento de um OpenGLContext e uma Window direcionada para a criação de desenhos.</t>
  </si>
  <si>
    <t>Leia o excerto a seguir:“Os Intents permitem iniciar uma atividade em outro aplicativo descrevendo uma ação simples que você gostaria de executar (como ‘exibir um mapa’ ou ‘tirar uma fotografia’) em um objeto Intent. Ele especifica uma ação que fornece alguns dados com os quais realizar a ação.” Fonte: DEVELOPERS. Intents e filtros de Intents. Disponível em: &lt;https://developer.android.com/guide/components/Intents-common?hl=pt-br&gt;. Acesso em: 28 out. 2019.Considerando essas informações e o conteúdo estudado sobre o Intent de desenvolvimento Android, analise as afirmativas a seguir e assinale V para a(s) verdadeira(s) e F para a(s) falsa(s). I. ( ) Um Intent pode ser definido como uma manipulação de dados visualizada analogicamente, como um endereço de web, por exemplo.II. ( ) A relação existente entre o Intent e o seu respectivo aplicativo é estabelecida por uma web especifica. III. ( ) Ao apresentar os Intents e os Intent filters, é preciso defini-los como estruturas inovadoras utilizadas para auxiliar na navegação e ativação de um Android.IV. ( ) Várias ações oriundas do Intent são estabelecidas como itens pertencentes à classe Intent. No entanto, os responsáveis pela criação de aplicativos podem desenvolver também novas ações.Agora, assinale a alternativa que apresenta a sequência correta:</t>
  </si>
  <si>
    <t>Leia o excerto a seguir: “Um objeto Intent carrega informações que o sistema Android usa para determinar o componente a iniciar (como o nome exato do componente ou categoria do componente que deve receber o Intent), além de informações que o componente receptor usa para realizar a ação adequadamente (como a ação a tomar e os dados a usar. ”Fonte: DEVELOPERS. Intents e filtros de Intents. Disponível em: &lt;https://developer.android.com/guide/components/Intents-filters?hl=pt-br&gt;. Acesso em: 28 out. 2019.Considerando essas informações e o conteúdo estudado sobre o Intent de desenvolvimento Android, analise as afirmativas a seguir.I. O framework apresenta uma elevada influência dentro de um aplicativo Android, posto que aplica uma visão web direcionada para os aplicativos.II. A internet é extremamente poderosa, visto que as distâncias físicas foram reduzidas a um clique realizado pelo usuário. Estes cliques são denominados mainframes.III. As plataformas que apresentam situações rotineiras de um desktop ao utilizar um dispositivo móvel só serão possíveis se um conjunto reduzido de usuários do modelo hardcore for utilizado.IV. O uso de dispositivos móveis com menus longos e utilização de diversos aspectos costuma apresentar uma boa aceitação no mercado móvel.Está correto apenas o que se afirma em:</t>
  </si>
  <si>
    <t>Leia o excerto a seguir:“Com o Android, você pode criar desenhos simples usando uma abordagem de arquivo XML. Você pode querer usar XML por vários motivos. Uma razão básica é porque é simples de fazer. Além disso, vale a pena ter em mente que os elementos gráficos descritos por XML podem ser modificados posteriormente por meio de programação, assim o XML fornece uma maneira simples de fazer o projeto inicial, que não é necessariamente estático.”Fonte: ABLESON, W. et al.  Android em ação. Rio de Janeiro: Elsevier, 2012.O trecho apresentado trata dos aspectos referentes aos arquivos XML. Considerando essas informações e o conteúdo estudado sobre elementos gráficos e animações com a API Graphics do Android, pode-se afirmar que um dos motivos que estimulam o uso de um arquivo XML está associado aos:</t>
  </si>
  <si>
    <t>elementos gráficos apresentados por XML, que podem ser alterados posteriormente através de programação.</t>
  </si>
  <si>
    <t>Leia o excerto a seguir:“Um ViewGroup é uma visão especial que pode conter outras visões, chamadas de filhos. O grupo de visões é a classe base para layouts e contêineres de visões. Essa classe também define a classe ViewGroup.LayoutParams, que serve como a classe base para os parâmetros de layouts.”Fonte: DEVELOPERS. ViewGroup. Disponível em: &lt;https://developer.android.com/reference/android/view/ViewGroup&gt;. Acesso em: 28 out. 2019. (Adaptado).O trecho apresentado traz a definição de uma Viewgroup. Considerando essas informações e o conteúdo estudado sobre os gerenciadores de layout, pode-se afirmar que uma ViewGroup é:</t>
  </si>
  <si>
    <t>uma classe que dispõe de diversos componentes menores.</t>
  </si>
  <si>
    <t>Leia o texto a seguir:“É comum utilizarmos bibliotecas externas para o desenvolvimento do seu aplicativo. Você deve se atentar ao fato de que essas bibliotecas devem ser compatíveis com o compileSdkVersion e o targetSdkVersion. Por padrão, o Android Studio utiliza uma biblioteca de compatibilidade para os recursos da plataforma. Caso haja alguma incompatibilidade nas configurações, o Gradle o notificará.” Fonte: Scheffer, Hudson. Desenvolvimento para Dispositivos Móveis. Londrina: Editora e Distribuidora Educacional. S.A 2018. p.19.Considerando essas informações e o conteúdo estudado sobre o Lançamento do App, pode-se afirmar que, entre outros aspectos, o uso de arquivos de compilação do Gradle:</t>
  </si>
  <si>
    <t>adota um modelo de compilação release.</t>
  </si>
  <si>
    <t>Leia o trecho a seguir:“Uma outra característica dos bancos de dados SQL é que são muito rápidos e versáteis, sendo utilizados em larga escala por aplicações empresariais. Além disso, o padrão SQL também facilita bastante outros desenvolvedores a construírem interações.”Fonte: DIÓGENES, Yuri; MAUSER, Daniel. Certificação Security+: Da prática para o exame SYO-401. Novaterra Editora e Distribuidora LTDA, 2016, p.77O trecho apresentado trata das características do banco de Dados SQL. Considerando essas informações e o conteúdo estudado sobre a Aplicação prática do SQLite, pode-se afirmar que a codificação visualizada no aplicativo pode ser a especificação do conteúdo textual, que se encontrado estaticamente no:</t>
  </si>
  <si>
    <t>strings.xlm</t>
  </si>
  <si>
    <t>Leia o trecho a seguir:“A classe permite realizar operações com a base de dados sem a necessidade de instruções SQL. Para realizar a atualização de um registro é preciso, apenas, chamar o método update informando o nome da tabela, os valores e a condição”Fonte: PLOTZE, Rodrigo. Programação para Dispositivos Móveis. 1ª edição. Rio de Janeiro: SESES, 2017. p. 110.Considerando essas informações e o conteúdo estudado sobre a Aplicação prática do SQLite, analise as classes e aspectos referentes ao SQL e associe-os com suas respectivas características.1) SQLiteDatabase.2) SQLiteOpenHelper.3) ArrayList.4)ImageView.( ) Nome da nova classe Java no projeto a realização da manipulação do banco de dados SQLite. ( ) Relação dinâmica que traz os arquivos apresentados na forma de objetos pertencentes a uma classe ContentValues. ( ) Possibilita a execução de operações baseadas em dados nos quais não há a necessidade de utilizar as instruções SQL.( ) Uso do controle que possibilita a inclusão de figuras dentro da tela.Agora, assinale a alternativa que apresenta a sequência correta:</t>
  </si>
  <si>
    <t>Leia o trecho a seguir:“Preparar e lançar versões você pode gerenciar o Android App Bundle (que é o formato de publicação recomendado pelo Google Play) ou os APK’s do seu App e lançá-lo em uma faixa específica. Cada versão é uma combinação de um ou mais artefatos preparados com o objetivo de lançar um App ou uma atualização.”Fonte: DEVELOPER. Preparar e lançar versões. Disponível em: &lt;https://support.google.com/googleplay/android-developer/answer/7159011?hl=pt-BR&gt;. Acesso em: 14 Nov. 2019.Considerando essas informações e o conteúdo estudado sobre o envio de um software para lojas de aplicativos do Google Play, pode-se afirmar que a preparação do aplicativo ocorre quando:</t>
  </si>
  <si>
    <t>o usuário consegue compilar uma versão de lançamento do aplicativo.</t>
  </si>
  <si>
    <t>Leia o trecho a seguir:“Uma versão gerenciada do Google Play é usada por empresas e funcionários para acessar um ecossistema completo de App’s de trabalho e produtividade. Os recursos de gerenciamento integrados do Android permitem que os administradores de TI gerenciem totalmente os dispositivos usados exclusivamente para o trabalho.”Fonte: DEVELOPER. Implantar apps para empresas usando o Google Play. Disponível em: &lt;https://developer.android.com/distribute/google-play/work?hl=pt&gt;. Acesso em: 14 Nov. 2019.O trecho apresentado traz as características do Google Play. Considerando essas informações e o conteúdo estudado sobre o envio de um software para lojas de aplicativos do Google Play, pode-se afirmar que o Google Play é:</t>
  </si>
  <si>
    <t>uma loja virtual utilizada para celulares que adotam o sistema Android.</t>
  </si>
  <si>
    <t>Leia o trecho a seguir:“Na plataforma Android, a manipulação de dados no banco SQLite é facilitada com o uso da classe SQLiteOpenHelper. Em termos de programação, a classe SQLiteOpenHelper é utilizada como superclasse em uma hierarquia e possui dois métodos abstratos que necessitam ser implementados: OnCreate e OnUpgrad”. Fonte: PLOTZE, Rodrigo. Programação para Dispositivos Móveis. 1ª edição. Rio de Janeiro: SESES, 2017.p.102Considerando essas informações e o conteúdo estudado sobre a Manipulação dos Dados, pode-se afirmar a classe Java auxilia na:</t>
  </si>
  <si>
    <t>criação e gerenciamento das versões presentes no banco de dados.</t>
  </si>
  <si>
    <t>Leia o trecho a seguir:“Ao trabalhar com o Gradle, é possível realizar ajustes para que possa ser gerado um arquivo ‘.apk’ conforme a necessidade. Para isso, o arquivo ‘build.gradle (Module: app)’ permite modificar diversas configurações de compilação.”Fonte: PLOTZE, Rodrigo. Programação para Dispositivos Móveis. 1ª edição. Rio de Janeiro: SESES, 2017.O trecho apresentado evidencia os aspectos do Gradle. Considerando essas informações e o conteúdo estudado sobre Lançamento do App, pode-se afirmar que a build.gradle:</t>
  </si>
  <si>
    <t>tem o objetivo de completar ou extrair informações oriundas do Android. Manifest.xml, porém, que se tornam configuráveis nessa localidade.</t>
  </si>
  <si>
    <t>Leia o trecho a seguir: “A biblioteca Room fornece acesso ao banco de dados, garantindo todo o poder da API do SQLite. Para que informações possam ser armazenadas no banco de dados, é necessário mapear os objetos que estão representados em classes Java através de anotações. Uma classe pode representar uma tabela no modelo relacional de armazenamento de dados.”Fonte: Scheffer, Hudson. Desenvolvimento para Dispositivos Móveis. Londrina: Editora e Distribuidora Educacional. S.A , 2018. p. 171O trecho apresentado refere-se à importância da biblioteca Room dentro de uma API SQLite. Considerando essas informações e o conteúdo estudado sobre a persistência em Banco de Dados SQLite, podemos afirmar que, em uma plataforma Android, é possível:</t>
  </si>
  <si>
    <t>criar aplicativos com a capacidade de arquivar dados em uma memória secundária do aparelho.</t>
  </si>
  <si>
    <t>Leia o texto a seguir:“Quando o usuário navegar para o link de download no dispositivo Android, o arquivo será transferido, e o sistema Android iniciará automaticamente a instalação no dispositivo. No entanto, o processo de instalação só começará automaticamente se as configurações do usuário estiverem definidas para permitir a instalação de App’s provenientes de fontes desconhecidas.”Fonte: DEVELOPER. Publicar seu app. Disponível em: &lt;https://developer.android.com/studio/publish?hl=pt-br&gt;. Acesso em: 14 Nov. 2019.Considerando essas informações e o conteúdo estudado sobre os Aplicativos direcionados aos usuários e sites, é possível afirmar, entre outros aspectos, que a publicação em outras plataformas depende:</t>
  </si>
  <si>
    <t>da preparação do aplicativo para o lançamento e o acolhimento do arquivo do APK disponível para o lançamento no site.</t>
  </si>
  <si>
    <t>Leia o texto a seguir:“Para preparar o aplicativo para lançamento, configure, compile e teste uma versão de lançamento. As tarefas de configuração são objetivas e envolvem tarefas básicas de limpeza e modificação do código que ajudam a otimizar o aplicativo.”Fonte: DEVELOPER. Preparar para o lançamento. Disponível em: &lt;https://developer.android.com/studio/publish/preparing?hl=pt&gt;. Acesso em: 14 Nov. 2019.Considerando essas informações e o conteúdo estudado sobre os Aplicativos aos usuários e sites, pode-se afirmar que o lançamento de aplicativos utilizando o Google Play:</t>
  </si>
  <si>
    <t>possibilita o acesso a uma série de ferramentas dos desenvolvedores.</t>
  </si>
  <si>
    <t>Leia o trecho a seguir:   “O compartilhamento de dados é realizado apenas quando desejado e possibilita, por exemplo, que dados armazenados em um arquivo possam ser consultados ou modificados por outros aplicativos. Esse recurso também pode ser empregado em base de dados criadas no banco de dados SQLite, ou em termos gerais, em qualquer tipo de dados armazenado de maneira persistente.” Fonte: PLOTZE, Rodrigo. Programação para Dispositivos Móveis. 1ª edição. Rio de Janeiro: SESES, 2017. p.31 Considerando essas informações e o conteúdo estudado sobre os Fundamentos do SQL, analise as afirmativas a seguir.I. O SQLite pode ser visto com um importante instrumento para manipular dados estruturados.II. O SQLite é compatível com um número limitado de linguagens de programação e suas instruções são baseadas no padrão Java.III. A biblioteca Room é utilizada para solucionar problemas apresentados pelo SQLite e tem o objetivo de trabalhar com dados estruturados.IV. As bases de dados desenvolvidas com o SQLite são disponibilizadas publicamente a todos os aplicativos Android.   Está correto apenas o que se afirma em:</t>
  </si>
  <si>
    <t>Leia o texto a seguir:“Se você fornecer um número de versão mais recente que a versão de banco de dados que está armazenada no dispositivo, o método onUpgrade de DatabaseOpenHelper vai ser chamado para migrar os dados para a nova versão.”Fonte: DEITEL, Paul; DEITEL, Harvey; WARD, Alexander. Android 6 para programadores: Uma abordagem baseada em aplicativos. Terceira Edição. Porto Alegre: Boockman, 2016. p.365.Considerando essas informações e o conteúdo estudado sobre a Manipulação de Dados, pode-se afirmar que o método onUpgrade se caracteriza por:</t>
  </si>
  <si>
    <t>ser utilizado no processo de modificação ao qual a estrutura do banco de dados está sujeita.</t>
  </si>
  <si>
    <t>Leia o texto a seguir:“Quando o usuário tenta instalar um App desconhecido em um dispositivo com Android 7.1.1 ou versões anteriores, o sistema pode mostrar uma caixa de diálogo perguntando se ele quer permitir que apenas um App desconhecido específico seja instalado. Em quase todos os casos, recomendamos que o usuário permita a instalação de apenas um App desconhecido por vez, caso essa opção esteja disponível.”Fonte: DEVELOPER. Publicar seu app. Disponível em: &lt;https://developer.android.com/studio/publish?hl=pt-br&gt;. Acesso em: 14 Nov. 2019.Considerando essas informações e o conteúdo estudado sobre os App desconhecidos, pode-se afirmar que o Android se caracteriza por:</t>
  </si>
  <si>
    <t>proteger os usuários em relação à instalação e aos downloads inapropriados oriundos de outras localidades não confiáveis.</t>
  </si>
  <si>
    <t>Leia o trecho a seguir:“Um recurso foi adicionado ao Android Nougat para definir o WebView do Chrome como preferência e desativar o app Android System WebView por padrão. Esse recurso ajudou os usuários ao minimizar a área ocupada por recursos do Android System WebView quando não estava em uso, enquanto ainda permitia que os usuários desativassem o Chromee voltassem a um WebView que não é do Chrome.”Fonte: ANDROID ENTERPRISE. Problema com o WebView no perfil de trabalho. Disponível em: &lt;https://support.google.com/work/android/answer/7506908?hl=pt-BR&gt;.Acesso em: 14 Nov. 2019.Considerando essas informações e o conteúdo estudado sobre os aplicativos desconhecidos, pode-se afirmar que o sistema no qual é possível realizar a ativação da instalação de aplicativos dentro de uma fonte exclusiva é o:</t>
  </si>
  <si>
    <t>Android 8.0.</t>
  </si>
  <si>
    <t>Leia o texto a seguir:“As informações de contato são armazenadas em um banco de SQLite. O SQLite é um mecanismo de banco de dados mais amplamente distribuídos do mundo. Cada fragmento deste aplicativo interage com um banco de dados SQLite por intermédio da classe unitária.”Fonte: DEITEL, Paul; DEITEL, Harvey; DEITEL, Abbey. Android Como Programar. Segunda Edição. Porto Alegre: Boockman, 2015. p. 265.Considerando essas informações e o conteúdo estudado sobre a Manipulação dos Dados analise as classes, métodos e atributos utilizados no SQLite e associe-os com suas respectivas características.1) Classe SQLiteOpenHelper. 2) Atributo DATABASE_NAME.3) Atributo DATABASE_VERSION.4) Método onCreate.( ) Serve para determinar a nomenclatura atribuída a um arquivo do banco de dados que será desenvolvido dentro dos dispositivos.( ) É responsável por indicar qual o tipo da estrutura do banco de dados que será usada. ( ) Pode ser usada como uma classe especial dentro de uma hierarquia e normalmente apresenta métodos abstratos a serem implementados.( ) Pode ser usado para desenvolver um novo banco de dados dentro de um dispositivo.Agora, assinale a alternativa que apresenta a sequência correta:</t>
  </si>
  <si>
    <t>Leia o trecho a seguir:“O SQLite é um banco de dados relacional, assim, para o armazenamento persistente de dados é necessário definir tabelas e seus respectivos campos. O banco de dados SQLite oferece aos desenvolvedores de aplicativos o recurso de armazenamento persistente de dados.”Fonte: PLOTZE, Rodrigo. Programação para Dispositivos Móveis. 1ª edição. Rio de Janeiro: SESES, 2017. p. 101Considerando essas informações e o conteúdo estudado sobre os Fundamentos do SQL, relacione os tipos de dados dispostos a seguir com as suas respectivas características:1) NULL.2) INTEGER.3) REAL.4)TEXT( ) Responsável pelo armazenamento de Números Inteiros.( ) Responsável pela manipulação de valores ponto-flutuante.( ) Responsável pela inserção de valores nulos.( ) Responsável pela inserção de dados textuais.Agora, assinale a alternativa que apresenta a sequência correta:</t>
  </si>
  <si>
    <t>Leia o excerto a seguir:“É muito importante entender que você só precisa criar um provedor de conteúdo caso tenha necessidade de expor informações para outras aplicações Se você precisar de um banco de dados privado que seja acessado apenas pelo seu aplicativo, utilize um banco de dados SQLite.”Fonte: LECHETA, Ricardo R. Google Android 4ª edição: Aprenda a criar aplicações para dispositivos móveis com o Android SDK. Novatec Editora, 2015, p.810Considerando essas informações e o conteúdo estudado sobre a Aplicação prática do SQLite, pode-se afirmar que a troca do ícone pertencente a um aplicativo Android implica na alteração do arquivo denominado:</t>
  </si>
  <si>
    <t>ic_laucher.png</t>
  </si>
  <si>
    <t>Leia o trecho a seguir:“Assim, o nome no atributo package do manifesto precisa sempre corresponder ao nome do pacote básico do projeto em que você mantém as atividades e o restante do código do aplicativo. É claro que você pode ter outros subpacotes no projeto, mas esses arquivos precisam importar a classe R.java usando o namespace do atributo package.”Fonte: DEVELOPER. Visão geral do manifesto do aplicativo. Disponível em: &lt;https://support.google.com/googleplay/android-developer/answer/7159011?hl=pt-BR&gt;. Acesso em: 14 Nov. 2019.Considerando essas informações e o conteúdo estudado sobre o lançamento do Aplicativo, é possível afirmar que o atributo package da tag &lt;manifest&gt; funciona:</t>
  </si>
  <si>
    <t>como identificador único pertencente ao aplicativo da loja.</t>
  </si>
  <si>
    <t>Leia o trecho a seguir:“Também é possível acessar o serviço por meio do aplicativo Play Store, disponível em dispositivos móveis com Android. O Google Play lista os aplicativos mais baixados no serviço, entre eles ‘Netflix’ e ‘Spotify Music’, com mais de cem milhões de instalações, e ‘WhatsApp Messenger’ e ‘Instagram’, com mais de 1 bilhão de instalações.”Fonte: Scheffer, Hudson. Desenvolvimento para Dispositivos Móveis. Londrina: Editora e Distribuidora Educacional. S.A 2018. p. 10Considerando essas informações e o conteúdo estudado sobre o envio de um software para lojas de aplicativos do Google Play, é possível afirmar que, parapublicar um aplicativo no Google Play, é preciso:</t>
  </si>
  <si>
    <t>enviar um APK configurado com uma assinatura de chave.</t>
  </si>
  <si>
    <t>Leia o trecho a seguir:“Os registros devem ser agrupados em tabelas e o conjunto de tabelas representa o Banco de Dados. Através deste modelo, é possível relacionar os dados armazenados, ou seja, é possível relacionar, por exemplo, uma tabela de Cliente com uma de Compras, facilitando a consulta de quais compras foram realizadas por determinado cliente.”Fonte: Scheffer, Hudson. Desenvolvimento para Dispositivos Móveis. Londrina: Editora e Distribuidora Educacional. S.A 2018.p.155Considerando essas informações e o conteúdo estudado sobre os Fundamentos do SQL, pode-se afirmar que, ao desenvolver uma tabela, é necessário:</t>
  </si>
  <si>
    <t>desenvolver uma listagem com um típico script dentro de uma linguagem SQL.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</si>
</sst>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0"/>
      <color theme="1"/>
      <name val="Calibri"/>
      <family val="2"/>
      <scheme val="minor"/>
    </font>
    <font>
      <b/>
      <sz val="11"/>
      <color theme="1"/>
      <name val="Calibri"/>
      <family val="2"/>
      <scheme val="minor"/>
    </font>
    <font>
      <sz val="11"/>
      <color theme="1" tint="0.249977111117893"/>
      <name val="Calibri"/>
      <family val="2"/>
      <scheme val="minor"/>
    </font>
    <font>
      <b/>
      <i/>
      <sz val="11"/>
      <color theme="1"/>
      <name val="Calibri"/>
      <family val="2"/>
      <scheme val="minor"/>
    </font>
    <font>
      <b/>
      <sz val="12"/>
      <color rgb="FFFFFF00"/>
      <name val="Calibri"/>
      <family val="2"/>
      <scheme val="minor"/>
    </font>
    <font>
      <i/>
      <sz val="11"/>
      <color theme="1"/>
      <name val="Calibri"/>
      <family val="2"/>
      <scheme val="minor"/>
    </font>
    <font>
      <sz val="8"/>
      <name val="Calibri"/>
      <family val="2"/>
      <scheme val="minor"/>
    </font>
    <font>
      <sz val="11"/>
      <color theme="0"/>
      <name val="Calibri"/>
      <family val="2"/>
      <scheme val="minor"/>
    </font>
    <font>
      <sz val="8"/>
      <color theme="3" tint="0.79998168889431442"/>
      <name val="Calibri"/>
      <family val="2"/>
      <scheme val="minor"/>
    </font>
    <font>
      <sz val="8"/>
      <color theme="4" tint="0.59999389629810485"/>
      <name val="Calibri"/>
      <family val="2"/>
      <scheme val="minor"/>
    </font>
    <font>
      <b/>
      <i/>
      <sz val="9"/>
      <color rgb="FFFFC000"/>
      <name val="Arial"/>
      <family val="2"/>
    </font>
    <font>
      <b/>
      <i/>
      <sz val="8"/>
      <color theme="0"/>
      <name val="Arial"/>
      <family val="2"/>
    </font>
    <font>
      <sz val="11"/>
      <color theme="7"/>
      <name val="Calibri"/>
      <family val="2"/>
      <scheme val="minor"/>
    </font>
    <font>
      <sz val="12"/>
      <color rgb="FF0A0A23"/>
      <name val="Roboto"/>
    </font>
    <font>
      <b/>
      <sz val="11"/>
      <color rgb="FF000000"/>
      <name val="Calibri"/>
      <family val="2"/>
    </font>
  </fonts>
  <fills count="10">
    <fill>
      <patternFill patternType="none"/>
    </fill>
    <fill>
      <patternFill patternType="gray125"/>
    </fill>
    <fill>
      <patternFill patternType="solid">
        <fgColor theme="1"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1" tint="0.249977111117893"/>
        <bgColor indexed="64"/>
      </patternFill>
    </fill>
    <fill>
      <patternFill patternType="solid">
        <fgColor theme="3"/>
        <bgColor indexed="64"/>
      </patternFill>
    </fill>
  </fills>
  <borders count="34">
    <border>
      <left/>
      <right/>
      <top/>
      <bottom/>
      <diagonal/>
    </border>
    <border>
      <left style="double">
        <color theme="1"/>
      </left>
      <right/>
      <top style="double">
        <color theme="1"/>
      </top>
      <bottom/>
      <diagonal/>
    </border>
    <border>
      <left/>
      <right/>
      <top style="double">
        <color theme="1"/>
      </top>
      <bottom/>
      <diagonal/>
    </border>
    <border>
      <left/>
      <right style="double">
        <color theme="1"/>
      </right>
      <top style="double">
        <color theme="1"/>
      </top>
      <bottom/>
      <diagonal/>
    </border>
    <border>
      <left style="double">
        <color theme="1"/>
      </left>
      <right/>
      <top/>
      <bottom/>
      <diagonal/>
    </border>
    <border>
      <left/>
      <right style="double">
        <color theme="1"/>
      </right>
      <top/>
      <bottom/>
      <diagonal/>
    </border>
    <border>
      <left style="double">
        <color theme="1"/>
      </left>
      <right/>
      <top/>
      <bottom style="double">
        <color theme="1"/>
      </bottom>
      <diagonal/>
    </border>
    <border>
      <left/>
      <right/>
      <top/>
      <bottom style="double">
        <color theme="1"/>
      </bottom>
      <diagonal/>
    </border>
    <border>
      <left/>
      <right style="double">
        <color theme="1"/>
      </right>
      <top/>
      <bottom style="double">
        <color theme="1"/>
      </bottom>
      <diagonal/>
    </border>
    <border>
      <left style="medium">
        <color theme="3" tint="0.79998168889431442"/>
      </left>
      <right/>
      <top style="medium">
        <color theme="3" tint="0.79998168889431442"/>
      </top>
      <bottom/>
      <diagonal/>
    </border>
    <border>
      <left/>
      <right/>
      <top style="medium">
        <color theme="3" tint="0.79998168889431442"/>
      </top>
      <bottom/>
      <diagonal/>
    </border>
    <border>
      <left/>
      <right style="medium">
        <color theme="3" tint="0.79998168889431442"/>
      </right>
      <top style="medium">
        <color theme="3" tint="0.79998168889431442"/>
      </top>
      <bottom/>
      <diagonal/>
    </border>
    <border>
      <left style="medium">
        <color theme="3" tint="0.79998168889431442"/>
      </left>
      <right/>
      <top/>
      <bottom style="medium">
        <color theme="3" tint="0.79998168889431442"/>
      </bottom>
      <diagonal/>
    </border>
    <border>
      <left/>
      <right/>
      <top/>
      <bottom style="medium">
        <color theme="3" tint="0.79998168889431442"/>
      </bottom>
      <diagonal/>
    </border>
    <border>
      <left/>
      <right style="medium">
        <color theme="3" tint="0.79998168889431442"/>
      </right>
      <top/>
      <bottom style="medium">
        <color theme="3" tint="0.79998168889431442"/>
      </bottom>
      <diagonal/>
    </border>
    <border>
      <left style="hair">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medium">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hair">
        <color theme="3" tint="0.79998168889431442"/>
      </bottom>
      <diagonal/>
    </border>
    <border>
      <left style="hair">
        <color theme="3" tint="0.79998168889431442"/>
      </left>
      <right style="medium">
        <color theme="3" tint="0.79998168889431442"/>
      </right>
      <top style="hair">
        <color theme="3" tint="0.79998168889431442"/>
      </top>
      <bottom style="hair">
        <color theme="3" tint="0.79998168889431442"/>
      </bottom>
      <diagonal/>
    </border>
    <border>
      <left style="medium">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hair">
        <color theme="3" tint="0.79998168889431442"/>
      </right>
      <top style="hair">
        <color theme="3" tint="0.79998168889431442"/>
      </top>
      <bottom style="medium">
        <color theme="3" tint="0.79998168889431442"/>
      </bottom>
      <diagonal/>
    </border>
    <border>
      <left style="hair">
        <color theme="3" tint="0.79998168889431442"/>
      </left>
      <right style="medium">
        <color theme="3" tint="0.79998168889431442"/>
      </right>
      <top style="hair">
        <color theme="3" tint="0.79998168889431442"/>
      </top>
      <bottom style="medium">
        <color theme="3" tint="0.79998168889431442"/>
      </bottom>
      <diagonal/>
    </border>
    <border>
      <left style="medium">
        <color theme="5" tint="-0.499984740745262"/>
      </left>
      <right style="medium">
        <color theme="5" tint="-0.499984740745262"/>
      </right>
      <top style="medium">
        <color theme="5" tint="-0.499984740745262"/>
      </top>
      <bottom/>
      <diagonal/>
    </border>
    <border>
      <left style="medium">
        <color theme="5" tint="-0.499984740745262"/>
      </left>
      <right style="medium">
        <color theme="5" tint="-0.499984740745262"/>
      </right>
      <top/>
      <bottom style="medium">
        <color theme="5" tint="-0.499984740745262"/>
      </bottom>
      <diagonal/>
    </border>
    <border>
      <left style="medium">
        <color theme="2" tint="-9.9978637043366805E-2"/>
      </left>
      <right/>
      <top/>
      <bottom/>
      <diagonal/>
    </border>
    <border>
      <left style="medium">
        <color theme="2" tint="-9.9978637043366805E-2"/>
      </left>
      <right/>
      <top/>
      <bottom style="medium">
        <color theme="2" tint="-9.9978637043366805E-2"/>
      </bottom>
      <diagonal/>
    </border>
    <border>
      <left/>
      <right/>
      <top/>
      <bottom style="medium">
        <color theme="2" tint="-9.9978637043366805E-2"/>
      </bottom>
      <diagonal/>
    </border>
    <border>
      <left style="medium">
        <color theme="2" tint="-9.9978637043366805E-2"/>
      </left>
      <right/>
      <top style="medium">
        <color theme="2" tint="-9.9978637043366805E-2"/>
      </top>
      <bottom style="medium">
        <color theme="2" tint="-9.9978637043366805E-2"/>
      </bottom>
      <diagonal/>
    </border>
    <border>
      <left/>
      <right style="medium">
        <color theme="2" tint="-9.9978637043366805E-2"/>
      </right>
      <top style="medium">
        <color theme="2" tint="-9.9978637043366805E-2"/>
      </top>
      <bottom style="medium">
        <color theme="2" tint="-9.9978637043366805E-2"/>
      </bottom>
      <diagonal/>
    </border>
    <border>
      <left/>
      <right style="medium">
        <color theme="2" tint="-9.9978637043366805E-2"/>
      </right>
      <top/>
      <bottom/>
      <diagonal/>
    </border>
    <border>
      <left/>
      <right style="medium">
        <color theme="2" tint="-9.9978637043366805E-2"/>
      </right>
      <top/>
      <bottom style="medium">
        <color theme="2" tint="-9.9978637043366805E-2"/>
      </bottom>
      <diagonal/>
    </border>
    <border>
      <left style="medium">
        <color theme="2" tint="-9.9978637043366805E-2"/>
      </left>
      <right/>
      <top style="medium">
        <color theme="2" tint="-9.9978637043366805E-2"/>
      </top>
      <bottom/>
      <diagonal/>
    </border>
    <border>
      <left/>
      <right/>
      <top style="medium">
        <color theme="2" tint="-9.9978637043366805E-2"/>
      </top>
      <bottom/>
      <diagonal/>
    </border>
    <border>
      <left/>
      <right style="medium">
        <color theme="2" tint="-9.9978637043366805E-2"/>
      </right>
      <top style="medium">
        <color theme="2" tint="-9.9978637043366805E-2"/>
      </top>
      <bottom/>
      <diagonal/>
    </border>
  </borders>
  <cellStyleXfs count="1">
    <xf numFmtId="0" fontId="0" fillId="0" borderId="0"/>
  </cellStyleXfs>
  <cellXfs count="58">
    <xf numFmtId="0" fontId="0" fillId="0" borderId="0" xfId="0"/>
    <xf numFmtId="0" fontId="0" fillId="2" borderId="0" xfId="0" applyFill="1"/>
    <xf numFmtId="0" fontId="0" fillId="0" borderId="0" xfId="0" applyAlignment="1">
      <alignment vertical="center"/>
    </xf>
    <xf numFmtId="0" fontId="0" fillId="0" borderId="17" xfId="0" applyBorder="1" applyAlignment="1">
      <alignment horizontal="left" vertical="center"/>
    </xf>
    <xf numFmtId="0" fontId="0" fillId="0" borderId="19" xfId="0" applyBorder="1" applyAlignment="1">
      <alignment horizontal="left" vertical="center"/>
    </xf>
    <xf numFmtId="0" fontId="2" fillId="4" borderId="0" xfId="0" applyFont="1" applyFill="1" applyAlignment="1">
      <alignment horizontal="center" vertical="center"/>
    </xf>
    <xf numFmtId="0" fontId="0" fillId="0" borderId="15" xfId="0" applyBorder="1" applyAlignment="1">
      <alignment horizontal="left" vertical="center" indent="1"/>
    </xf>
    <xf numFmtId="0" fontId="0" fillId="0" borderId="20" xfId="0" applyBorder="1" applyAlignment="1">
      <alignment horizontal="left" vertical="center" indent="1"/>
    </xf>
    <xf numFmtId="0" fontId="0" fillId="0" borderId="16" xfId="0" applyBorder="1" applyAlignment="1">
      <alignment horizontal="left" vertical="center" indent="1"/>
    </xf>
    <xf numFmtId="0" fontId="0" fillId="0" borderId="18" xfId="0" applyBorder="1" applyAlignment="1">
      <alignment horizontal="left" vertical="center" indent="1"/>
    </xf>
    <xf numFmtId="0" fontId="0" fillId="0" borderId="21" xfId="0" applyBorder="1" applyAlignment="1">
      <alignment horizontal="left" vertical="center" indent="1"/>
    </xf>
    <xf numFmtId="0" fontId="3" fillId="0" borderId="15" xfId="0" applyFont="1" applyBorder="1"/>
    <xf numFmtId="0" fontId="5" fillId="2" borderId="22" xfId="0" applyFont="1" applyFill="1" applyBorder="1" applyAlignment="1">
      <alignment horizontal="center" vertical="center"/>
    </xf>
    <xf numFmtId="0" fontId="4" fillId="0" borderId="9" xfId="0" applyFont="1" applyBorder="1" applyAlignment="1">
      <alignment horizontal="center" vertical="center"/>
    </xf>
    <xf numFmtId="0" fontId="4" fillId="0" borderId="12" xfId="0" applyFont="1" applyBorder="1" applyAlignment="1">
      <alignment horizontal="center" vertical="center"/>
    </xf>
    <xf numFmtId="0" fontId="0" fillId="0" borderId="23" xfId="0" applyBorder="1" applyAlignment="1">
      <alignment horizontal="center" vertical="center"/>
    </xf>
    <xf numFmtId="0" fontId="0" fillId="2" borderId="0" xfId="0" applyFill="1" applyProtection="1">
      <protection hidden="1"/>
    </xf>
    <xf numFmtId="0" fontId="9" fillId="0" borderId="0" xfId="0" applyFont="1"/>
    <xf numFmtId="0" fontId="10" fillId="0" borderId="0" xfId="0" applyFont="1"/>
    <xf numFmtId="0" fontId="0" fillId="0" borderId="24" xfId="0" applyBorder="1" applyAlignment="1">
      <alignment vertical="center"/>
    </xf>
    <xf numFmtId="0" fontId="0" fillId="0" borderId="25" xfId="0" applyBorder="1" applyAlignment="1">
      <alignment vertical="center"/>
    </xf>
    <xf numFmtId="0" fontId="0" fillId="0" borderId="27" xfId="0" applyBorder="1" applyAlignment="1">
      <alignment vertical="center"/>
    </xf>
    <xf numFmtId="0" fontId="0" fillId="0" borderId="28" xfId="0" applyBorder="1" applyAlignment="1">
      <alignment vertical="center"/>
    </xf>
    <xf numFmtId="0" fontId="0" fillId="0" borderId="29" xfId="0" applyBorder="1" applyAlignment="1">
      <alignment vertical="center"/>
    </xf>
    <xf numFmtId="0" fontId="0" fillId="0" borderId="30" xfId="0" applyBorder="1" applyAlignment="1">
      <alignment vertical="center"/>
    </xf>
    <xf numFmtId="0" fontId="11" fillId="7" borderId="0" xfId="0" applyFont="1" applyFill="1" applyAlignment="1" applyProtection="1">
      <alignment horizontal="center" vertical="center"/>
      <protection locked="0" hidden="1"/>
    </xf>
    <xf numFmtId="0" fontId="0" fillId="0" borderId="31" xfId="0" applyBorder="1"/>
    <xf numFmtId="0" fontId="0" fillId="0" borderId="32" xfId="0" applyBorder="1"/>
    <xf numFmtId="0" fontId="0" fillId="0" borderId="33" xfId="0" applyBorder="1"/>
    <xf numFmtId="0" fontId="0" fillId="0" borderId="24" xfId="0" applyBorder="1"/>
    <xf numFmtId="0" fontId="0" fillId="0" borderId="29" xfId="0" applyBorder="1"/>
    <xf numFmtId="0" fontId="0" fillId="0" borderId="25" xfId="0" applyBorder="1"/>
    <xf numFmtId="0" fontId="0" fillId="0" borderId="26" xfId="0" applyBorder="1"/>
    <xf numFmtId="0" fontId="0" fillId="0" borderId="30" xfId="0" applyBorder="1"/>
    <xf numFmtId="0" fontId="0" fillId="0" borderId="27" xfId="0" applyBorder="1"/>
    <xf numFmtId="0" fontId="0" fillId="0" borderId="28" xfId="0" applyBorder="1"/>
    <xf numFmtId="0" fontId="14" fillId="0" borderId="0" xfId="0" applyFont="1"/>
    <xf numFmtId="0" fontId="0" fillId="0" borderId="0" xfId="0" applyAlignment="1">
      <alignment horizontal="left" vertical="top"/>
    </xf>
    <xf numFmtId="0" fontId="0" fillId="2" borderId="0" xfId="0" applyFill="1" applyAlignment="1" applyProtection="1">
      <alignment horizontal="center" vertical="center" wrapText="1"/>
      <protection hidden="1"/>
    </xf>
    <xf numFmtId="0" fontId="12" fillId="8" borderId="0" xfId="0" applyFont="1" applyFill="1" applyAlignment="1">
      <alignment horizontal="center" vertical="center" wrapText="1"/>
    </xf>
    <xf numFmtId="0" fontId="1" fillId="2" borderId="0" xfId="0" applyFont="1" applyFill="1" applyAlignment="1" applyProtection="1">
      <alignment horizontal="center"/>
      <protection hidden="1"/>
    </xf>
    <xf numFmtId="0" fontId="8" fillId="2" borderId="0" xfId="0" applyFont="1" applyFill="1" applyAlignment="1" applyProtection="1">
      <alignment horizontal="left" vertical="top" wrapText="1"/>
      <protection hidden="1"/>
    </xf>
    <xf numFmtId="0" fontId="8" fillId="2" borderId="0" xfId="0" applyFont="1" applyFill="1" applyAlignment="1" applyProtection="1">
      <alignment horizontal="left" vertical="top"/>
      <protection hidden="1"/>
    </xf>
    <xf numFmtId="0" fontId="1" fillId="3" borderId="1" xfId="0" applyFont="1" applyFill="1" applyBorder="1" applyAlignment="1" applyProtection="1">
      <alignment horizontal="left" vertical="center" wrapText="1"/>
      <protection locked="0"/>
    </xf>
    <xf numFmtId="0" fontId="1" fillId="3" borderId="2" xfId="0" applyFont="1" applyFill="1" applyBorder="1" applyAlignment="1" applyProtection="1">
      <alignment horizontal="left" vertical="center" wrapText="1"/>
      <protection locked="0"/>
    </xf>
    <xf numFmtId="0" fontId="1" fillId="3" borderId="3" xfId="0" applyFont="1" applyFill="1" applyBorder="1" applyAlignment="1" applyProtection="1">
      <alignment horizontal="left" vertical="center" wrapText="1"/>
      <protection locked="0"/>
    </xf>
    <xf numFmtId="0" fontId="1" fillId="3" borderId="4" xfId="0" applyFont="1" applyFill="1" applyBorder="1" applyAlignment="1" applyProtection="1">
      <alignment horizontal="left" vertical="center" wrapText="1"/>
      <protection locked="0"/>
    </xf>
    <xf numFmtId="0" fontId="1" fillId="3" borderId="0" xfId="0" applyFont="1" applyFill="1" applyAlignment="1" applyProtection="1">
      <alignment horizontal="left" vertical="center" wrapText="1"/>
      <protection locked="0"/>
    </xf>
    <xf numFmtId="0" fontId="1" fillId="3" borderId="5" xfId="0" applyFont="1" applyFill="1" applyBorder="1" applyAlignment="1" applyProtection="1">
      <alignment horizontal="left" vertical="center" wrapText="1"/>
      <protection locked="0"/>
    </xf>
    <xf numFmtId="0" fontId="1" fillId="3" borderId="6" xfId="0" applyFont="1" applyFill="1" applyBorder="1" applyAlignment="1" applyProtection="1">
      <alignment horizontal="left" vertical="center" wrapText="1"/>
      <protection locked="0"/>
    </xf>
    <xf numFmtId="0" fontId="1" fillId="3" borderId="7" xfId="0" applyFont="1" applyFill="1" applyBorder="1" applyAlignment="1" applyProtection="1">
      <alignment horizontal="left" vertical="center" wrapText="1"/>
      <protection locked="0"/>
    </xf>
    <xf numFmtId="0" fontId="1" fillId="3" borderId="8" xfId="0" applyFont="1" applyFill="1" applyBorder="1" applyAlignment="1" applyProtection="1">
      <alignment horizontal="left" vertical="center" wrapText="1"/>
      <protection locked="0"/>
    </xf>
    <xf numFmtId="0" fontId="0" fillId="6" borderId="10" xfId="0" applyFill="1" applyBorder="1" applyAlignment="1">
      <alignment horizontal="center" vertical="center"/>
    </xf>
    <xf numFmtId="0" fontId="0" fillId="6" borderId="11" xfId="0" applyFill="1" applyBorder="1" applyAlignment="1">
      <alignment horizontal="center" vertical="center"/>
    </xf>
    <xf numFmtId="0" fontId="6" fillId="5" borderId="13" xfId="0" applyFont="1" applyFill="1" applyBorder="1" applyAlignment="1">
      <alignment horizontal="center" vertical="center"/>
    </xf>
    <xf numFmtId="0" fontId="6" fillId="5" borderId="14" xfId="0" applyFont="1" applyFill="1" applyBorder="1" applyAlignment="1">
      <alignment horizontal="center" vertical="center"/>
    </xf>
    <xf numFmtId="0" fontId="13" fillId="9" borderId="31" xfId="0" applyFont="1" applyFill="1" applyBorder="1" applyAlignment="1">
      <alignment horizontal="left" vertical="center"/>
    </xf>
    <xf numFmtId="0" fontId="13" fillId="9" borderId="32" xfId="0" applyFont="1" applyFill="1" applyBorder="1" applyAlignment="1">
      <alignment horizontal="left" vertical="center"/>
    </xf>
  </cellXfs>
  <cellStyles count="1">
    <cellStyle name="Normal" xfId="0" builtinId="0"/>
  </cellStyles>
  <dxfs count="5">
    <dxf>
      <font>
        <b val="0"/>
        <i/>
        <strike val="0"/>
        <color rgb="FFC00000"/>
      </font>
    </dxf>
    <dxf>
      <font>
        <b/>
        <i val="0"/>
        <color rgb="FFFFC000"/>
      </font>
    </dxf>
    <dxf>
      <font>
        <b/>
        <i val="0"/>
        <color rgb="FFFFC000"/>
      </font>
    </dxf>
    <dxf>
      <font>
        <color theme="1"/>
      </font>
      <fill>
        <patternFill>
          <bgColor theme="0" tint="-0.14996795556505021"/>
        </patternFill>
      </fill>
      <border>
        <left style="thin">
          <color theme="4" tint="0.39994506668294322"/>
        </left>
        <right style="thin">
          <color theme="4" tint="0.39994506668294322"/>
        </right>
        <top style="thin">
          <color theme="4" tint="0.39994506668294322"/>
        </top>
        <bottom style="thin">
          <color theme="4" tint="0.39994506668294322"/>
        </bottom>
      </border>
    </dxf>
    <dxf>
      <fill>
        <patternFill>
          <bgColor rgb="FFFFFF00"/>
        </patternFill>
      </fill>
      <border>
        <left style="dashDotDot">
          <color auto="1"/>
        </left>
        <right style="dashDotDot">
          <color auto="1"/>
        </right>
        <top style="dashDotDot">
          <color auto="1"/>
        </top>
        <bottom style="dashDotDot">
          <color auto="1"/>
        </bottom>
        <vertical/>
        <horizontal/>
      </border>
    </dxf>
  </dxfs>
  <tableStyles count="0" defaultTableStyle="TableStyleMedium2" defaultPivotStyle="PivotStyleLight16"/>
  <colors>
    <mruColors>
      <color rgb="FF0D0D0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100361</xdr:rowOff>
    </xdr:from>
    <xdr:to>
      <xdr:col>3</xdr:col>
      <xdr:colOff>266467</xdr:colOff>
      <xdr:row>3</xdr:row>
      <xdr:rowOff>5110</xdr:rowOff>
    </xdr:to>
    <xdr:sp macro="" textlink="">
      <xdr:nvSpPr>
        <xdr:cNvPr id="4" name="Gráfico 2">
          <a:extLst>
            <a:ext uri="{FF2B5EF4-FFF2-40B4-BE49-F238E27FC236}">
              <a16:creationId xmlns:a16="http://schemas.microsoft.com/office/drawing/2014/main" id="{00000000-0008-0000-0000-000004000000}"/>
            </a:ext>
          </a:extLst>
        </xdr:cNvPr>
        <xdr:cNvSpPr/>
      </xdr:nvSpPr>
      <xdr:spPr>
        <a:xfrm>
          <a:off x="638175" y="128936"/>
          <a:ext cx="266467" cy="285749"/>
        </a:xfrm>
        <a:custGeom>
          <a:avLst/>
          <a:gdLst>
            <a:gd name="connsiteX0" fmla="*/ 23241 w 352425"/>
            <a:gd name="connsiteY0" fmla="*/ 22941 h 361950"/>
            <a:gd name="connsiteX1" fmla="*/ 19050 w 352425"/>
            <a:gd name="connsiteY1" fmla="*/ 38100 h 361950"/>
            <a:gd name="connsiteX2" fmla="*/ 19050 w 352425"/>
            <a:gd name="connsiteY2" fmla="*/ 76200 h 361950"/>
            <a:gd name="connsiteX3" fmla="*/ 47625 w 352425"/>
            <a:gd name="connsiteY3" fmla="*/ 76200 h 361950"/>
            <a:gd name="connsiteX4" fmla="*/ 47625 w 352425"/>
            <a:gd name="connsiteY4" fmla="*/ 38100 h 361950"/>
            <a:gd name="connsiteX5" fmla="*/ 43433 w 352425"/>
            <a:gd name="connsiteY5" fmla="*/ 22942 h 361950"/>
            <a:gd name="connsiteX6" fmla="*/ 33338 w 352425"/>
            <a:gd name="connsiteY6" fmla="*/ 19050 h 361950"/>
            <a:gd name="connsiteX7" fmla="*/ 47625 w 352425"/>
            <a:gd name="connsiteY7" fmla="*/ 95250 h 361950"/>
            <a:gd name="connsiteX8" fmla="*/ 47625 w 352425"/>
            <a:gd name="connsiteY8" fmla="*/ 352425 h 361950"/>
            <a:gd name="connsiteX9" fmla="*/ 57150 w 352425"/>
            <a:gd name="connsiteY9" fmla="*/ 361950 h 361950"/>
            <a:gd name="connsiteX10" fmla="*/ 342900 w 352425"/>
            <a:gd name="connsiteY10" fmla="*/ 361950 h 361950"/>
            <a:gd name="connsiteX11" fmla="*/ 352425 w 352425"/>
            <a:gd name="connsiteY11" fmla="*/ 352425 h 361950"/>
            <a:gd name="connsiteX12" fmla="*/ 352425 w 352425"/>
            <a:gd name="connsiteY12" fmla="*/ 32385 h 361950"/>
            <a:gd name="connsiteX13" fmla="*/ 320566 w 352425"/>
            <a:gd name="connsiteY13" fmla="*/ 0 h 361950"/>
            <a:gd name="connsiteX14" fmla="*/ 33338 w 352425"/>
            <a:gd name="connsiteY14" fmla="*/ 0 h 361950"/>
            <a:gd name="connsiteX15" fmla="*/ 8906 w 352425"/>
            <a:gd name="connsiteY15" fmla="*/ 10397 h 361950"/>
            <a:gd name="connsiteX16" fmla="*/ 0 w 352425"/>
            <a:gd name="connsiteY16" fmla="*/ 38100 h 361950"/>
            <a:gd name="connsiteX17" fmla="*/ 0 w 352425"/>
            <a:gd name="connsiteY17" fmla="*/ 85725 h 361950"/>
            <a:gd name="connsiteX18" fmla="*/ 9525 w 352425"/>
            <a:gd name="connsiteY18" fmla="*/ 95250 h 361950"/>
            <a:gd name="connsiteX19" fmla="*/ 47625 w 352425"/>
            <a:gd name="connsiteY19" fmla="*/ 95250 h 361950"/>
            <a:gd name="connsiteX20" fmla="*/ 23241 w 352425"/>
            <a:gd name="connsiteY20" fmla="*/ 22941 h 361950"/>
            <a:gd name="connsiteX21" fmla="*/ 33338 w 352425"/>
            <a:gd name="connsiteY21" fmla="*/ 19050 h 361950"/>
            <a:gd name="connsiteX22" fmla="*/ 23241 w 352425"/>
            <a:gd name="connsiteY22" fmla="*/ 22941 h 361950"/>
            <a:gd name="connsiteX23" fmla="*/ 63165 w 352425"/>
            <a:gd name="connsiteY23" fmla="*/ 19050 h 361950"/>
            <a:gd name="connsiteX24" fmla="*/ 66675 w 352425"/>
            <a:gd name="connsiteY24" fmla="*/ 38100 h 361950"/>
            <a:gd name="connsiteX25" fmla="*/ 66675 w 352425"/>
            <a:gd name="connsiteY25" fmla="*/ 342900 h 361950"/>
            <a:gd name="connsiteX26" fmla="*/ 333375 w 352425"/>
            <a:gd name="connsiteY26" fmla="*/ 342900 h 361950"/>
            <a:gd name="connsiteX27" fmla="*/ 333375 w 352425"/>
            <a:gd name="connsiteY27" fmla="*/ 32385 h 361950"/>
            <a:gd name="connsiteX28" fmla="*/ 320566 w 352425"/>
            <a:gd name="connsiteY28" fmla="*/ 19050 h 361950"/>
            <a:gd name="connsiteX29" fmla="*/ 63164 w 352425"/>
            <a:gd name="connsiteY29" fmla="*/ 19050 h 361950"/>
            <a:gd name="connsiteX30" fmla="*/ 99555 w 352425"/>
            <a:gd name="connsiteY30" fmla="*/ 81083 h 361950"/>
            <a:gd name="connsiteX31" fmla="*/ 113026 w 352425"/>
            <a:gd name="connsiteY31" fmla="*/ 81083 h 361950"/>
            <a:gd name="connsiteX32" fmla="*/ 123248 w 352425"/>
            <a:gd name="connsiteY32" fmla="*/ 91305 h 361950"/>
            <a:gd name="connsiteX33" fmla="*/ 133470 w 352425"/>
            <a:gd name="connsiteY33" fmla="*/ 81083 h 361950"/>
            <a:gd name="connsiteX34" fmla="*/ 146941 w 352425"/>
            <a:gd name="connsiteY34" fmla="*/ 81083 h 361950"/>
            <a:gd name="connsiteX35" fmla="*/ 146941 w 352425"/>
            <a:gd name="connsiteY35" fmla="*/ 94553 h 361950"/>
            <a:gd name="connsiteX36" fmla="*/ 136717 w 352425"/>
            <a:gd name="connsiteY36" fmla="*/ 104775 h 361950"/>
            <a:gd name="connsiteX37" fmla="*/ 146940 w 352425"/>
            <a:gd name="connsiteY37" fmla="*/ 114998 h 361950"/>
            <a:gd name="connsiteX38" fmla="*/ 146940 w 352425"/>
            <a:gd name="connsiteY38" fmla="*/ 128468 h 361950"/>
            <a:gd name="connsiteX39" fmla="*/ 133469 w 352425"/>
            <a:gd name="connsiteY39" fmla="*/ 128468 h 361950"/>
            <a:gd name="connsiteX40" fmla="*/ 123247 w 352425"/>
            <a:gd name="connsiteY40" fmla="*/ 118245 h 361950"/>
            <a:gd name="connsiteX41" fmla="*/ 113025 w 352425"/>
            <a:gd name="connsiteY41" fmla="*/ 128468 h 361950"/>
            <a:gd name="connsiteX42" fmla="*/ 99554 w 352425"/>
            <a:gd name="connsiteY42" fmla="*/ 128468 h 361950"/>
            <a:gd name="connsiteX43" fmla="*/ 99554 w 352425"/>
            <a:gd name="connsiteY43" fmla="*/ 114998 h 361950"/>
            <a:gd name="connsiteX44" fmla="*/ 109777 w 352425"/>
            <a:gd name="connsiteY44" fmla="*/ 104775 h 361950"/>
            <a:gd name="connsiteX45" fmla="*/ 99554 w 352425"/>
            <a:gd name="connsiteY45" fmla="*/ 94553 h 361950"/>
            <a:gd name="connsiteX46" fmla="*/ 99554 w 352425"/>
            <a:gd name="connsiteY46" fmla="*/ 81083 h 361950"/>
            <a:gd name="connsiteX47" fmla="*/ 180975 w 352425"/>
            <a:gd name="connsiteY47" fmla="*/ 100013 h 361950"/>
            <a:gd name="connsiteX48" fmla="*/ 190500 w 352425"/>
            <a:gd name="connsiteY48" fmla="*/ 90488 h 361950"/>
            <a:gd name="connsiteX49" fmla="*/ 295275 w 352425"/>
            <a:gd name="connsiteY49" fmla="*/ 90488 h 361950"/>
            <a:gd name="connsiteX50" fmla="*/ 304800 w 352425"/>
            <a:gd name="connsiteY50" fmla="*/ 100013 h 361950"/>
            <a:gd name="connsiteX51" fmla="*/ 295275 w 352425"/>
            <a:gd name="connsiteY51" fmla="*/ 109538 h 361950"/>
            <a:gd name="connsiteX52" fmla="*/ 190500 w 352425"/>
            <a:gd name="connsiteY52" fmla="*/ 109538 h 361950"/>
            <a:gd name="connsiteX53" fmla="*/ 180975 w 352425"/>
            <a:gd name="connsiteY53" fmla="*/ 100013 h 361950"/>
            <a:gd name="connsiteX54" fmla="*/ 158115 w 352425"/>
            <a:gd name="connsiteY54" fmla="*/ 163830 h 361950"/>
            <a:gd name="connsiteX55" fmla="*/ 160020 w 352425"/>
            <a:gd name="connsiteY55" fmla="*/ 177165 h 361950"/>
            <a:gd name="connsiteX56" fmla="*/ 131445 w 352425"/>
            <a:gd name="connsiteY56" fmla="*/ 215265 h 361950"/>
            <a:gd name="connsiteX57" fmla="*/ 118115 w 352425"/>
            <a:gd name="connsiteY57" fmla="*/ 217174 h 361950"/>
            <a:gd name="connsiteX58" fmla="*/ 117090 w 352425"/>
            <a:gd name="connsiteY58" fmla="*/ 216285 h 361950"/>
            <a:gd name="connsiteX59" fmla="*/ 98040 w 352425"/>
            <a:gd name="connsiteY59" fmla="*/ 197235 h 361950"/>
            <a:gd name="connsiteX60" fmla="*/ 98040 w 352425"/>
            <a:gd name="connsiteY60" fmla="*/ 183765 h 361950"/>
            <a:gd name="connsiteX61" fmla="*/ 111510 w 352425"/>
            <a:gd name="connsiteY61" fmla="*/ 183765 h 361950"/>
            <a:gd name="connsiteX62" fmla="*/ 122794 w 352425"/>
            <a:gd name="connsiteY62" fmla="*/ 195049 h 361950"/>
            <a:gd name="connsiteX63" fmla="*/ 144780 w 352425"/>
            <a:gd name="connsiteY63" fmla="*/ 165735 h 361950"/>
            <a:gd name="connsiteX64" fmla="*/ 158115 w 352425"/>
            <a:gd name="connsiteY64" fmla="*/ 163830 h 361950"/>
            <a:gd name="connsiteX65" fmla="*/ 180975 w 352425"/>
            <a:gd name="connsiteY65" fmla="*/ 195263 h 361950"/>
            <a:gd name="connsiteX66" fmla="*/ 190500 w 352425"/>
            <a:gd name="connsiteY66" fmla="*/ 185738 h 361950"/>
            <a:gd name="connsiteX67" fmla="*/ 295275 w 352425"/>
            <a:gd name="connsiteY67" fmla="*/ 185738 h 361950"/>
            <a:gd name="connsiteX68" fmla="*/ 304800 w 352425"/>
            <a:gd name="connsiteY68" fmla="*/ 195263 h 361950"/>
            <a:gd name="connsiteX69" fmla="*/ 295275 w 352425"/>
            <a:gd name="connsiteY69" fmla="*/ 204788 h 361950"/>
            <a:gd name="connsiteX70" fmla="*/ 190500 w 352425"/>
            <a:gd name="connsiteY70" fmla="*/ 204788 h 361950"/>
            <a:gd name="connsiteX71" fmla="*/ 180975 w 352425"/>
            <a:gd name="connsiteY71" fmla="*/ 195263 h 361950"/>
            <a:gd name="connsiteX72" fmla="*/ 158115 w 352425"/>
            <a:gd name="connsiteY72" fmla="*/ 254318 h 361950"/>
            <a:gd name="connsiteX73" fmla="*/ 160020 w 352425"/>
            <a:gd name="connsiteY73" fmla="*/ 267653 h 361950"/>
            <a:gd name="connsiteX74" fmla="*/ 131445 w 352425"/>
            <a:gd name="connsiteY74" fmla="*/ 305753 h 361950"/>
            <a:gd name="connsiteX75" fmla="*/ 118115 w 352425"/>
            <a:gd name="connsiteY75" fmla="*/ 307661 h 361950"/>
            <a:gd name="connsiteX76" fmla="*/ 117090 w 352425"/>
            <a:gd name="connsiteY76" fmla="*/ 306773 h 361950"/>
            <a:gd name="connsiteX77" fmla="*/ 98040 w 352425"/>
            <a:gd name="connsiteY77" fmla="*/ 287723 h 361950"/>
            <a:gd name="connsiteX78" fmla="*/ 98040 w 352425"/>
            <a:gd name="connsiteY78" fmla="*/ 274252 h 361950"/>
            <a:gd name="connsiteX79" fmla="*/ 111510 w 352425"/>
            <a:gd name="connsiteY79" fmla="*/ 274252 h 361950"/>
            <a:gd name="connsiteX80" fmla="*/ 122794 w 352425"/>
            <a:gd name="connsiteY80" fmla="*/ 285537 h 361950"/>
            <a:gd name="connsiteX81" fmla="*/ 144780 w 352425"/>
            <a:gd name="connsiteY81" fmla="*/ 256223 h 361950"/>
            <a:gd name="connsiteX82" fmla="*/ 158115 w 352425"/>
            <a:gd name="connsiteY82" fmla="*/ 254318 h 361950"/>
            <a:gd name="connsiteX83" fmla="*/ 180975 w 352425"/>
            <a:gd name="connsiteY83" fmla="*/ 280988 h 361950"/>
            <a:gd name="connsiteX84" fmla="*/ 190500 w 352425"/>
            <a:gd name="connsiteY84" fmla="*/ 271463 h 361950"/>
            <a:gd name="connsiteX85" fmla="*/ 295275 w 352425"/>
            <a:gd name="connsiteY85" fmla="*/ 271463 h 361950"/>
            <a:gd name="connsiteX86" fmla="*/ 304800 w 352425"/>
            <a:gd name="connsiteY86" fmla="*/ 280988 h 361950"/>
            <a:gd name="connsiteX87" fmla="*/ 295275 w 352425"/>
            <a:gd name="connsiteY87" fmla="*/ 290513 h 361950"/>
            <a:gd name="connsiteX88" fmla="*/ 190500 w 352425"/>
            <a:gd name="connsiteY88" fmla="*/ 290513 h 361950"/>
            <a:gd name="connsiteX89" fmla="*/ 180975 w 352425"/>
            <a:gd name="connsiteY89" fmla="*/ 280988 h 361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Lst>
          <a:rect l="l" t="t" r="r" b="b"/>
          <a:pathLst>
            <a:path w="352425" h="361950">
              <a:moveTo>
                <a:pt x="23241" y="22941"/>
              </a:moveTo>
              <a:cubicBezTo>
                <a:pt x="21060" y="25434"/>
                <a:pt x="19050" y="30058"/>
                <a:pt x="19050" y="38100"/>
              </a:cubicBezTo>
              <a:lnTo>
                <a:pt x="19050" y="76200"/>
              </a:lnTo>
              <a:lnTo>
                <a:pt x="47625" y="76200"/>
              </a:lnTo>
              <a:lnTo>
                <a:pt x="47625" y="38100"/>
              </a:lnTo>
              <a:cubicBezTo>
                <a:pt x="47625" y="30059"/>
                <a:pt x="45615" y="25435"/>
                <a:pt x="43433" y="22942"/>
              </a:cubicBezTo>
              <a:cubicBezTo>
                <a:pt x="41398" y="20615"/>
                <a:pt x="38266" y="19050"/>
                <a:pt x="33338" y="19050"/>
              </a:cubicBezTo>
              <a:moveTo>
                <a:pt x="47625" y="95250"/>
              </a:moveTo>
              <a:lnTo>
                <a:pt x="47625" y="352425"/>
              </a:lnTo>
              <a:cubicBezTo>
                <a:pt x="47625" y="357686"/>
                <a:pt x="51889" y="361950"/>
                <a:pt x="57150" y="361950"/>
              </a:cubicBezTo>
              <a:lnTo>
                <a:pt x="342900" y="361950"/>
              </a:lnTo>
              <a:cubicBezTo>
                <a:pt x="348161" y="361950"/>
                <a:pt x="352425" y="357686"/>
                <a:pt x="352425" y="352425"/>
              </a:cubicBezTo>
              <a:lnTo>
                <a:pt x="352425" y="32385"/>
              </a:lnTo>
              <a:cubicBezTo>
                <a:pt x="352425" y="14762"/>
                <a:pt x="338318" y="0"/>
                <a:pt x="320566" y="0"/>
              </a:cubicBezTo>
              <a:lnTo>
                <a:pt x="33338" y="0"/>
              </a:lnTo>
              <a:cubicBezTo>
                <a:pt x="23979" y="0"/>
                <a:pt x="15204" y="3198"/>
                <a:pt x="8906" y="10397"/>
              </a:cubicBezTo>
              <a:cubicBezTo>
                <a:pt x="2753" y="17429"/>
                <a:pt x="0" y="27092"/>
                <a:pt x="0" y="38100"/>
              </a:cubicBezTo>
              <a:lnTo>
                <a:pt x="0" y="85725"/>
              </a:lnTo>
              <a:cubicBezTo>
                <a:pt x="0" y="90986"/>
                <a:pt x="4264" y="95250"/>
                <a:pt x="9525" y="95250"/>
              </a:cubicBezTo>
              <a:lnTo>
                <a:pt x="47625" y="95250"/>
              </a:lnTo>
              <a:close/>
              <a:moveTo>
                <a:pt x="23241" y="22941"/>
              </a:moveTo>
              <a:cubicBezTo>
                <a:pt x="25278" y="20615"/>
                <a:pt x="28409" y="19050"/>
                <a:pt x="33338" y="19050"/>
              </a:cubicBezTo>
              <a:lnTo>
                <a:pt x="23241" y="22941"/>
              </a:lnTo>
              <a:close/>
              <a:moveTo>
                <a:pt x="63165" y="19050"/>
              </a:moveTo>
              <a:cubicBezTo>
                <a:pt x="65561" y="24635"/>
                <a:pt x="66675" y="31095"/>
                <a:pt x="66675" y="38100"/>
              </a:cubicBezTo>
              <a:lnTo>
                <a:pt x="66675" y="342900"/>
              </a:lnTo>
              <a:lnTo>
                <a:pt x="333375" y="342900"/>
              </a:lnTo>
              <a:lnTo>
                <a:pt x="333375" y="32385"/>
              </a:lnTo>
              <a:cubicBezTo>
                <a:pt x="333375" y="24863"/>
                <a:pt x="327381" y="19050"/>
                <a:pt x="320566" y="19050"/>
              </a:cubicBezTo>
              <a:lnTo>
                <a:pt x="63164" y="19050"/>
              </a:lnTo>
              <a:close/>
              <a:moveTo>
                <a:pt x="99555" y="81083"/>
              </a:moveTo>
              <a:cubicBezTo>
                <a:pt x="103275" y="77363"/>
                <a:pt x="109306" y="77363"/>
                <a:pt x="113026" y="81083"/>
              </a:cubicBezTo>
              <a:lnTo>
                <a:pt x="123248" y="91305"/>
              </a:lnTo>
              <a:lnTo>
                <a:pt x="133470" y="81083"/>
              </a:lnTo>
              <a:cubicBezTo>
                <a:pt x="137190" y="77363"/>
                <a:pt x="143221" y="77363"/>
                <a:pt x="146941" y="81083"/>
              </a:cubicBezTo>
              <a:cubicBezTo>
                <a:pt x="150661" y="84802"/>
                <a:pt x="150661" y="90833"/>
                <a:pt x="146941" y="94553"/>
              </a:cubicBezTo>
              <a:lnTo>
                <a:pt x="136717" y="104775"/>
              </a:lnTo>
              <a:lnTo>
                <a:pt x="146940" y="114998"/>
              </a:lnTo>
              <a:cubicBezTo>
                <a:pt x="150660" y="118718"/>
                <a:pt x="150660" y="124748"/>
                <a:pt x="146940" y="128468"/>
              </a:cubicBezTo>
              <a:cubicBezTo>
                <a:pt x="143220" y="132188"/>
                <a:pt x="137190" y="132188"/>
                <a:pt x="133469" y="128468"/>
              </a:cubicBezTo>
              <a:lnTo>
                <a:pt x="123247" y="118245"/>
              </a:lnTo>
              <a:lnTo>
                <a:pt x="113025" y="128468"/>
              </a:lnTo>
              <a:cubicBezTo>
                <a:pt x="109305" y="132188"/>
                <a:pt x="103274" y="132188"/>
                <a:pt x="99554" y="128468"/>
              </a:cubicBezTo>
              <a:cubicBezTo>
                <a:pt x="95835" y="124748"/>
                <a:pt x="95835" y="118718"/>
                <a:pt x="99554" y="114998"/>
              </a:cubicBezTo>
              <a:lnTo>
                <a:pt x="109777" y="104775"/>
              </a:lnTo>
              <a:lnTo>
                <a:pt x="99554" y="94553"/>
              </a:lnTo>
              <a:cubicBezTo>
                <a:pt x="95835" y="90833"/>
                <a:pt x="95835" y="84802"/>
                <a:pt x="99554" y="81083"/>
              </a:cubicBezTo>
              <a:close/>
              <a:moveTo>
                <a:pt x="180975" y="100013"/>
              </a:moveTo>
              <a:cubicBezTo>
                <a:pt x="180975" y="94752"/>
                <a:pt x="185239" y="90488"/>
                <a:pt x="190500" y="90488"/>
              </a:cubicBezTo>
              <a:lnTo>
                <a:pt x="295275" y="90488"/>
              </a:lnTo>
              <a:cubicBezTo>
                <a:pt x="300536" y="90488"/>
                <a:pt x="304800" y="94752"/>
                <a:pt x="304800" y="100013"/>
              </a:cubicBezTo>
              <a:cubicBezTo>
                <a:pt x="304800" y="105273"/>
                <a:pt x="300536" y="109538"/>
                <a:pt x="295275" y="109538"/>
              </a:cubicBezTo>
              <a:lnTo>
                <a:pt x="190500" y="109538"/>
              </a:lnTo>
              <a:cubicBezTo>
                <a:pt x="185239" y="109538"/>
                <a:pt x="180975" y="105273"/>
                <a:pt x="180975" y="100013"/>
              </a:cubicBezTo>
              <a:close/>
              <a:moveTo>
                <a:pt x="158115" y="163830"/>
              </a:moveTo>
              <a:cubicBezTo>
                <a:pt x="162323" y="166987"/>
                <a:pt x="163177" y="172957"/>
                <a:pt x="160020" y="177165"/>
              </a:cubicBezTo>
              <a:lnTo>
                <a:pt x="131445" y="215265"/>
              </a:lnTo>
              <a:cubicBezTo>
                <a:pt x="128291" y="219473"/>
                <a:pt x="122323" y="220328"/>
                <a:pt x="118115" y="217174"/>
              </a:cubicBezTo>
              <a:cubicBezTo>
                <a:pt x="117753" y="216902"/>
                <a:pt x="117410" y="216605"/>
                <a:pt x="117090" y="216285"/>
              </a:cubicBezTo>
              <a:lnTo>
                <a:pt x="98040" y="197235"/>
              </a:lnTo>
              <a:cubicBezTo>
                <a:pt x="94320" y="193516"/>
                <a:pt x="94320" y="187484"/>
                <a:pt x="98040" y="183765"/>
              </a:cubicBezTo>
              <a:cubicBezTo>
                <a:pt x="101759" y="180045"/>
                <a:pt x="107791" y="180045"/>
                <a:pt x="111510" y="183765"/>
              </a:cubicBezTo>
              <a:lnTo>
                <a:pt x="122794" y="195049"/>
              </a:lnTo>
              <a:lnTo>
                <a:pt x="144780" y="165735"/>
              </a:lnTo>
              <a:cubicBezTo>
                <a:pt x="147937" y="161527"/>
                <a:pt x="153907" y="160674"/>
                <a:pt x="158115" y="163830"/>
              </a:cubicBezTo>
              <a:close/>
              <a:moveTo>
                <a:pt x="180975" y="195263"/>
              </a:moveTo>
              <a:cubicBezTo>
                <a:pt x="180975" y="190002"/>
                <a:pt x="185239" y="185738"/>
                <a:pt x="190500" y="185738"/>
              </a:cubicBezTo>
              <a:lnTo>
                <a:pt x="295275" y="185738"/>
              </a:lnTo>
              <a:cubicBezTo>
                <a:pt x="300536" y="185738"/>
                <a:pt x="304800" y="190002"/>
                <a:pt x="304800" y="195263"/>
              </a:cubicBezTo>
              <a:cubicBezTo>
                <a:pt x="304800" y="200523"/>
                <a:pt x="300536" y="204788"/>
                <a:pt x="295275" y="204788"/>
              </a:cubicBezTo>
              <a:lnTo>
                <a:pt x="190500" y="204788"/>
              </a:lnTo>
              <a:cubicBezTo>
                <a:pt x="185239" y="204788"/>
                <a:pt x="180975" y="200523"/>
                <a:pt x="180975" y="195263"/>
              </a:cubicBezTo>
              <a:close/>
              <a:moveTo>
                <a:pt x="158115" y="254318"/>
              </a:moveTo>
              <a:cubicBezTo>
                <a:pt x="162323" y="257474"/>
                <a:pt x="163177" y="263444"/>
                <a:pt x="160020" y="267653"/>
              </a:cubicBezTo>
              <a:lnTo>
                <a:pt x="131445" y="305753"/>
              </a:lnTo>
              <a:cubicBezTo>
                <a:pt x="128291" y="309961"/>
                <a:pt x="122323" y="310815"/>
                <a:pt x="118115" y="307661"/>
              </a:cubicBezTo>
              <a:cubicBezTo>
                <a:pt x="117753" y="307390"/>
                <a:pt x="117410" y="307093"/>
                <a:pt x="117090" y="306773"/>
              </a:cubicBezTo>
              <a:lnTo>
                <a:pt x="98040" y="287723"/>
              </a:lnTo>
              <a:cubicBezTo>
                <a:pt x="94320" y="284003"/>
                <a:pt x="94320" y="277972"/>
                <a:pt x="98040" y="274252"/>
              </a:cubicBezTo>
              <a:cubicBezTo>
                <a:pt x="101759" y="270533"/>
                <a:pt x="107791" y="270533"/>
                <a:pt x="111510" y="274252"/>
              </a:cubicBezTo>
              <a:lnTo>
                <a:pt x="122794" y="285537"/>
              </a:lnTo>
              <a:lnTo>
                <a:pt x="144780" y="256223"/>
              </a:lnTo>
              <a:cubicBezTo>
                <a:pt x="147937" y="252014"/>
                <a:pt x="153907" y="251162"/>
                <a:pt x="158115" y="254318"/>
              </a:cubicBezTo>
              <a:close/>
              <a:moveTo>
                <a:pt x="180975" y="280988"/>
              </a:moveTo>
              <a:cubicBezTo>
                <a:pt x="180975" y="275727"/>
                <a:pt x="185239" y="271463"/>
                <a:pt x="190500" y="271463"/>
              </a:cubicBezTo>
              <a:lnTo>
                <a:pt x="295275" y="271463"/>
              </a:lnTo>
              <a:cubicBezTo>
                <a:pt x="300536" y="271463"/>
                <a:pt x="304800" y="275727"/>
                <a:pt x="304800" y="280988"/>
              </a:cubicBezTo>
              <a:cubicBezTo>
                <a:pt x="304800" y="286248"/>
                <a:pt x="300536" y="290513"/>
                <a:pt x="295275" y="290513"/>
              </a:cubicBezTo>
              <a:lnTo>
                <a:pt x="190500" y="290513"/>
              </a:lnTo>
              <a:cubicBezTo>
                <a:pt x="185239" y="290513"/>
                <a:pt x="180975" y="286248"/>
                <a:pt x="180975" y="280988"/>
              </a:cubicBezTo>
              <a:close/>
            </a:path>
          </a:pathLst>
        </a:custGeom>
        <a:solidFill>
          <a:schemeClr val="accent4"/>
        </a:solidFill>
        <a:ln w="9525" cap="flat">
          <a:solidFill>
            <a:srgbClr val="000000">
              <a:alpha val="0"/>
            </a:srgbClr>
          </a:solidFill>
          <a:prstDash val="solid"/>
          <a:miter/>
        </a:ln>
        <a:effectLst>
          <a:outerShdw blurRad="50800" dist="38100" dir="2700000" algn="tl" rotWithShape="0">
            <a:prstClr val="black">
              <a:alpha val="40000"/>
            </a:prstClr>
          </a:outerShdw>
        </a:effectLst>
      </xdr:spPr>
      <xdr:txBody>
        <a:bodyPr rtlCol="0" anchor="ctr"/>
        <a:lstStyle/>
        <a:p>
          <a:endParaRPr lang="pt-BR"/>
        </a:p>
      </xdr:txBody>
    </xdr:sp>
    <xdr:clientData/>
  </xdr:twoCellAnchor>
  <xdr:twoCellAnchor>
    <xdr:from>
      <xdr:col>3</xdr:col>
      <xdr:colOff>270650</xdr:colOff>
      <xdr:row>1</xdr:row>
      <xdr:rowOff>120155</xdr:rowOff>
    </xdr:from>
    <xdr:to>
      <xdr:col>6</xdr:col>
      <xdr:colOff>581025</xdr:colOff>
      <xdr:row>2</xdr:row>
      <xdr:rowOff>184924</xdr:rowOff>
    </xdr:to>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908825" y="148730"/>
          <a:ext cx="2653525" cy="255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1" u="none">
              <a:solidFill>
                <a:schemeClr val="accent4"/>
              </a:solidFill>
            </a:rPr>
            <a:t>SISTEMA</a:t>
          </a:r>
          <a:r>
            <a:rPr lang="pt-BR" sz="1100" b="1" i="1" u="none" baseline="0">
              <a:solidFill>
                <a:schemeClr val="accent4"/>
              </a:solidFill>
            </a:rPr>
            <a:t> DE CONSULTA DE QUESTÕES</a:t>
          </a:r>
          <a:endParaRPr lang="pt-BR" sz="1100" b="1" i="1" u="none">
            <a:solidFill>
              <a:schemeClr val="accent4"/>
            </a:solidFill>
          </a:endParaRPr>
        </a:p>
      </xdr:txBody>
    </xdr:sp>
    <xdr:clientData/>
  </xdr:twoCellAnchor>
  <xdr:oneCellAnchor>
    <xdr:from>
      <xdr:col>8</xdr:col>
      <xdr:colOff>361950</xdr:colOff>
      <xdr:row>2</xdr:row>
      <xdr:rowOff>66675</xdr:rowOff>
    </xdr:from>
    <xdr:ext cx="2343150" cy="311496"/>
    <xdr:sp macro="[0]!_xludf.Paste" textlink="">
      <xdr:nvSpPr>
        <xdr:cNvPr id="2" name="CaixaDeTexto 1">
          <a:extLst>
            <a:ext uri="{FF2B5EF4-FFF2-40B4-BE49-F238E27FC236}">
              <a16:creationId xmlns:a16="http://schemas.microsoft.com/office/drawing/2014/main" id="{00000000-0008-0000-0000-000002000000}"/>
            </a:ext>
          </a:extLst>
        </xdr:cNvPr>
        <xdr:cNvSpPr txBox="1"/>
      </xdr:nvSpPr>
      <xdr:spPr>
        <a:xfrm>
          <a:off x="4743450" y="285750"/>
          <a:ext cx="2343150"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0" i="1" u="none">
              <a:solidFill>
                <a:schemeClr val="bg1"/>
              </a:solidFill>
            </a:rPr>
            <a:t>COLOQUE</a:t>
          </a:r>
          <a:r>
            <a:rPr lang="pt-BR" sz="1050" b="0" i="1" u="none" baseline="0">
              <a:solidFill>
                <a:schemeClr val="bg1"/>
              </a:solidFill>
            </a:rPr>
            <a:t> AQUI A SUA QUESTÃO :   </a:t>
          </a:r>
          <a:r>
            <a:rPr lang="pt-BR" sz="1400" b="1" i="0" u="none" baseline="0">
              <a:solidFill>
                <a:srgbClr val="FFFF00"/>
              </a:solidFill>
            </a:rPr>
            <a:t>↓</a:t>
          </a:r>
          <a:endParaRPr lang="pt-BR" sz="1050" b="1" i="0" u="none">
            <a:solidFill>
              <a:srgbClr val="FFFF00"/>
            </a:solidFill>
          </a:endParaRPr>
        </a:p>
      </xdr:txBody>
    </xdr:sp>
    <xdr:clientData/>
  </xdr:oneCellAnchor>
  <mc:AlternateContent xmlns:mc="http://schemas.openxmlformats.org/markup-compatibility/2006">
    <mc:Choice xmlns:a14="http://schemas.microsoft.com/office/drawing/2010/main" Requires="a14">
      <xdr:twoCellAnchor>
        <xdr:from>
          <xdr:col>1</xdr:col>
          <xdr:colOff>28575</xdr:colOff>
          <xdr:row>4</xdr:row>
          <xdr:rowOff>9525</xdr:rowOff>
        </xdr:from>
        <xdr:to>
          <xdr:col>1</xdr:col>
          <xdr:colOff>523875</xdr:colOff>
          <xdr:row>5</xdr:row>
          <xdr:rowOff>57150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cs typeface="Calibri"/>
                </a:rPr>
                <a:t>Colar</a:t>
              </a:r>
            </a:p>
            <a:p>
              <a:pPr algn="ctr" rtl="0">
                <a:defRPr sz="1000"/>
              </a:pPr>
              <a:r>
                <a:rPr lang="pt-BR" sz="1100" b="1" i="0" u="none" strike="noStrike" baseline="0">
                  <a:solidFill>
                    <a:srgbClr val="000000"/>
                  </a:solidFill>
                  <a:latin typeface="Calibri"/>
                  <a:cs typeface="Calibri"/>
                </a:rPr>
                <a:t>COLAR</a:t>
              </a:r>
            </a:p>
          </xdr:txBody>
        </xdr:sp>
        <xdr:clientData fPrintsWithSheet="0"/>
      </xdr:twoCellAnchor>
    </mc:Choice>
    <mc:Fallback/>
  </mc:AlternateContent>
  <xdr:twoCellAnchor>
    <xdr:from>
      <xdr:col>7</xdr:col>
      <xdr:colOff>524847</xdr:colOff>
      <xdr:row>1</xdr:row>
      <xdr:rowOff>29158</xdr:rowOff>
    </xdr:from>
    <xdr:to>
      <xdr:col>12</xdr:col>
      <xdr:colOff>165229</xdr:colOff>
      <xdr:row>2</xdr:row>
      <xdr:rowOff>48597</xdr:rowOff>
    </xdr:to>
    <xdr:sp macro="" textlink="">
      <xdr:nvSpPr>
        <xdr:cNvPr id="5" name="Retângulo: Cantos Arredondados 4">
          <a:extLst>
            <a:ext uri="{FF2B5EF4-FFF2-40B4-BE49-F238E27FC236}">
              <a16:creationId xmlns:a16="http://schemas.microsoft.com/office/drawing/2014/main" id="{00000000-0008-0000-0000-000005000000}"/>
            </a:ext>
          </a:extLst>
        </xdr:cNvPr>
        <xdr:cNvSpPr/>
      </xdr:nvSpPr>
      <xdr:spPr>
        <a:xfrm>
          <a:off x="4276531" y="58316"/>
          <a:ext cx="3528137" cy="213827"/>
        </a:xfrm>
        <a:prstGeom prst="round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nchorCtr="1"/>
        <a:lstStyle/>
        <a:p>
          <a:pPr algn="l"/>
          <a:r>
            <a:rPr lang="pt-BR" sz="1100" b="0" i="0">
              <a:solidFill>
                <a:schemeClr val="lt1"/>
              </a:solidFill>
              <a:effectLst/>
              <a:latin typeface="+mn-lt"/>
              <a:ea typeface="+mn-ea"/>
              <a:cs typeface="+mn-cs"/>
            </a:rPr>
            <a:t> </a:t>
          </a:r>
          <a:r>
            <a:rPr lang="pt-BR" sz="1100" b="1" i="0">
              <a:solidFill>
                <a:schemeClr val="lt1"/>
              </a:solidFill>
              <a:effectLst/>
              <a:latin typeface="+mn-lt"/>
              <a:ea typeface="+mn-ea"/>
              <a:cs typeface="+mn-cs"/>
            </a:rPr>
            <a:t>© </a:t>
          </a:r>
          <a:r>
            <a:rPr lang="pt-BR" sz="1100"/>
            <a:t>GARAY</a:t>
          </a:r>
          <a:r>
            <a:rPr lang="pt-BR" sz="1100" baseline="0"/>
            <a:t> &amp; SOARES LTDA</a:t>
          </a:r>
          <a:endParaRPr lang="pt-BR" sz="1100"/>
        </a:p>
      </xdr:txBody>
    </xdr:sp>
    <xdr:clientData/>
  </xdr:twoCellAnchor>
  <xdr:twoCellAnchor>
    <xdr:from>
      <xdr:col>20</xdr:col>
      <xdr:colOff>55205</xdr:colOff>
      <xdr:row>8</xdr:row>
      <xdr:rowOff>171839</xdr:rowOff>
    </xdr:from>
    <xdr:to>
      <xdr:col>30</xdr:col>
      <xdr:colOff>602602</xdr:colOff>
      <xdr:row>29</xdr:row>
      <xdr:rowOff>84364</xdr:rowOff>
    </xdr:to>
    <xdr:sp macro="" textlink="">
      <xdr:nvSpPr>
        <xdr:cNvPr id="9" name="Retângulo 8">
          <a:extLst>
            <a:ext uri="{FF2B5EF4-FFF2-40B4-BE49-F238E27FC236}">
              <a16:creationId xmlns:a16="http://schemas.microsoft.com/office/drawing/2014/main" id="{00000000-0008-0000-0000-000009000000}"/>
            </a:ext>
          </a:extLst>
        </xdr:cNvPr>
        <xdr:cNvSpPr/>
      </xdr:nvSpPr>
      <xdr:spPr>
        <a:xfrm>
          <a:off x="10989516" y="1474237"/>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0</xdr:colOff>
      <xdr:row>0</xdr:row>
      <xdr:rowOff>0</xdr:rowOff>
    </xdr:from>
    <xdr:to>
      <xdr:col>32</xdr:col>
      <xdr:colOff>230154</xdr:colOff>
      <xdr:row>28</xdr:row>
      <xdr:rowOff>174949</xdr:rowOff>
    </xdr:to>
    <xdr:grpSp>
      <xdr:nvGrpSpPr>
        <xdr:cNvPr id="11" name="Agrupar 10">
          <a:extLst>
            <a:ext uri="{FF2B5EF4-FFF2-40B4-BE49-F238E27FC236}">
              <a16:creationId xmlns:a16="http://schemas.microsoft.com/office/drawing/2014/main" id="{00000000-0008-0000-0000-00000B000000}"/>
            </a:ext>
          </a:extLst>
        </xdr:cNvPr>
        <xdr:cNvGrpSpPr/>
      </xdr:nvGrpSpPr>
      <xdr:grpSpPr>
        <a:xfrm>
          <a:off x="0" y="0"/>
          <a:ext cx="18813623" cy="5860791"/>
          <a:chOff x="0" y="0"/>
          <a:chExt cx="18813623" cy="5860791"/>
        </a:xfrm>
      </xdr:grpSpPr>
      <xdr:sp macro="" textlink="">
        <xdr:nvSpPr>
          <xdr:cNvPr id="6" name="Retângulo 5">
            <a:extLst>
              <a:ext uri="{FF2B5EF4-FFF2-40B4-BE49-F238E27FC236}">
                <a16:creationId xmlns:a16="http://schemas.microsoft.com/office/drawing/2014/main" id="{00000000-0008-0000-0000-000006000000}"/>
              </a:ext>
            </a:extLst>
          </xdr:cNvPr>
          <xdr:cNvSpPr/>
        </xdr:nvSpPr>
        <xdr:spPr>
          <a:xfrm>
            <a:off x="0" y="1292680"/>
            <a:ext cx="12450536"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 name="Retângulo 6">
            <a:extLst>
              <a:ext uri="{FF2B5EF4-FFF2-40B4-BE49-F238E27FC236}">
                <a16:creationId xmlns:a16="http://schemas.microsoft.com/office/drawing/2014/main" id="{00000000-0008-0000-0000-000007000000}"/>
              </a:ext>
            </a:extLst>
          </xdr:cNvPr>
          <xdr:cNvSpPr/>
        </xdr:nvSpPr>
        <xdr:spPr>
          <a:xfrm>
            <a:off x="10837116" y="1321837"/>
            <a:ext cx="1882451"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8" name="Retângulo 7">
            <a:extLst>
              <a:ext uri="{FF2B5EF4-FFF2-40B4-BE49-F238E27FC236}">
                <a16:creationId xmlns:a16="http://schemas.microsoft.com/office/drawing/2014/main" id="{00000000-0008-0000-0000-000008000000}"/>
              </a:ext>
            </a:extLst>
          </xdr:cNvPr>
          <xdr:cNvSpPr/>
        </xdr:nvSpPr>
        <xdr:spPr>
          <a:xfrm>
            <a:off x="0" y="45488"/>
            <a:ext cx="15512143" cy="5765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10" name="Retângulo 9">
            <a:extLst>
              <a:ext uri="{FF2B5EF4-FFF2-40B4-BE49-F238E27FC236}">
                <a16:creationId xmlns:a16="http://schemas.microsoft.com/office/drawing/2014/main" id="{00000000-0008-0000-0000-00000A000000}"/>
              </a:ext>
            </a:extLst>
          </xdr:cNvPr>
          <xdr:cNvSpPr/>
        </xdr:nvSpPr>
        <xdr:spPr>
          <a:xfrm>
            <a:off x="11841710" y="0"/>
            <a:ext cx="6971913" cy="4538954"/>
          </a:xfrm>
          <a:prstGeom prst="rect">
            <a:avLst/>
          </a:prstGeom>
          <a:solidFill>
            <a:schemeClr val="tx1">
              <a:alpha val="0"/>
            </a:scheme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145676</xdr:colOff>
      <xdr:row>0</xdr:row>
      <xdr:rowOff>42582</xdr:rowOff>
    </xdr:from>
    <xdr:to>
      <xdr:col>0</xdr:col>
      <xdr:colOff>507626</xdr:colOff>
      <xdr:row>1</xdr:row>
      <xdr:rowOff>115420</xdr:rowOff>
    </xdr:to>
    <xdr:pic>
      <xdr:nvPicPr>
        <xdr:cNvPr id="3" name="Gráfico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676" y="42582"/>
          <a:ext cx="361950" cy="358588"/>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E5489A-3F95-40EB-94FF-957F435B910F}">
  <sheetPr codeName="Planilha1"/>
  <dimension ref="A1:AR61"/>
  <sheetViews>
    <sheetView showGridLines="0" showRowColHeaders="0" tabSelected="1" zoomScale="98" zoomScaleNormal="98" workbookViewId="0">
      <selection activeCell="C5" sqref="C5:S7"/>
    </sheetView>
  </sheetViews>
  <sheetFormatPr defaultColWidth="0" defaultRowHeight="15" zeroHeight="1" x14ac:dyDescent="0.25"/>
  <cols>
    <col min="1" max="1" width="0.5703125" customWidth="1"/>
    <col min="2" max="2" width="8.7109375" customWidth="1"/>
    <col min="3" max="3" width="0.28515625" customWidth="1"/>
    <col min="4" max="13" width="11.7109375" customWidth="1"/>
    <col min="14" max="14" width="1.85546875" customWidth="1"/>
    <col min="15" max="19" width="6.7109375" customWidth="1"/>
    <col min="20" max="20" width="2.28515625" customWidth="1"/>
    <col min="21" max="21" width="13.7109375" customWidth="1"/>
    <col min="22" max="42" width="9.140625" customWidth="1"/>
    <col min="43" max="44" width="0" hidden="1" customWidth="1"/>
    <col min="45" max="16384" width="9.140625" hidden="1"/>
  </cols>
  <sheetData>
    <row r="1" spans="1:44" ht="2.25" customHeight="1" x14ac:dyDescent="0.25">
      <c r="A1" s="16"/>
      <c r="B1" s="16"/>
      <c r="C1" s="16"/>
      <c r="D1" s="16"/>
      <c r="E1" s="16"/>
      <c r="F1" s="16"/>
      <c r="G1" s="16"/>
      <c r="H1" s="16"/>
      <c r="I1" s="16"/>
      <c r="J1" s="16"/>
      <c r="K1" s="16"/>
      <c r="L1" s="16"/>
      <c r="M1" s="16"/>
      <c r="N1" s="16"/>
      <c r="O1" s="16"/>
      <c r="P1" s="16"/>
      <c r="Q1" s="16"/>
      <c r="R1" s="16"/>
      <c r="S1" s="16"/>
      <c r="T1" s="16"/>
      <c r="U1" s="16"/>
      <c r="V1" s="16"/>
      <c r="W1" s="1"/>
      <c r="X1" s="1"/>
      <c r="Y1" s="1"/>
      <c r="Z1" s="1"/>
      <c r="AA1" s="1"/>
      <c r="AB1" s="1"/>
      <c r="AC1" s="1"/>
      <c r="AD1" s="1"/>
      <c r="AE1" s="1"/>
      <c r="AF1" s="1"/>
      <c r="AG1" s="1"/>
      <c r="AH1" s="1"/>
      <c r="AI1" s="1"/>
      <c r="AJ1" s="1"/>
      <c r="AK1" s="1"/>
      <c r="AL1" s="1"/>
      <c r="AM1" s="1"/>
      <c r="AN1" s="1"/>
      <c r="AO1" s="1"/>
      <c r="AP1" s="1"/>
      <c r="AQ1" s="1"/>
      <c r="AR1" s="1"/>
    </row>
    <row r="2" spans="1:44" x14ac:dyDescent="0.25">
      <c r="A2" s="16"/>
      <c r="B2" s="16"/>
      <c r="C2" s="16"/>
      <c r="D2" s="16"/>
      <c r="E2" s="16"/>
      <c r="F2" s="16"/>
      <c r="G2" s="16"/>
      <c r="H2" s="16"/>
      <c r="I2" s="16"/>
      <c r="J2" s="16"/>
      <c r="K2" s="16"/>
      <c r="L2" s="16"/>
      <c r="M2" s="16"/>
      <c r="N2" s="16"/>
      <c r="O2" s="16"/>
      <c r="P2" s="16"/>
      <c r="Q2" s="16"/>
      <c r="R2" s="16"/>
      <c r="S2" s="16"/>
      <c r="T2" s="16"/>
      <c r="U2" s="16"/>
      <c r="V2" s="16"/>
      <c r="W2" s="1"/>
      <c r="X2" s="1"/>
      <c r="Y2" s="1"/>
      <c r="Z2" s="1"/>
      <c r="AA2" s="1"/>
      <c r="AB2" s="1"/>
      <c r="AC2" s="1"/>
      <c r="AD2" s="1"/>
      <c r="AE2" s="1"/>
      <c r="AF2" s="1"/>
      <c r="AG2" s="1"/>
      <c r="AH2" s="1"/>
      <c r="AI2" s="1"/>
      <c r="AJ2" s="1"/>
      <c r="AK2" s="1"/>
      <c r="AL2" s="1"/>
      <c r="AM2" s="1"/>
      <c r="AN2" s="1"/>
      <c r="AO2" s="1"/>
      <c r="AP2" s="1"/>
      <c r="AQ2" s="1"/>
      <c r="AR2" s="1"/>
    </row>
    <row r="3" spans="1:44" x14ac:dyDescent="0.25">
      <c r="A3" s="16"/>
      <c r="B3" s="16"/>
      <c r="C3" s="16"/>
      <c r="D3" s="16"/>
      <c r="E3" s="16"/>
      <c r="F3" s="16"/>
      <c r="G3" s="16"/>
      <c r="H3" s="16"/>
      <c r="I3" s="16"/>
      <c r="J3" s="16"/>
      <c r="K3" s="16"/>
      <c r="L3" s="16"/>
      <c r="M3" s="16"/>
      <c r="N3" s="16"/>
      <c r="O3" s="16"/>
      <c r="P3" s="16"/>
      <c r="Q3" s="16"/>
      <c r="R3" s="16"/>
      <c r="S3" s="16"/>
      <c r="T3" s="16"/>
      <c r="U3" s="16"/>
      <c r="V3" s="16"/>
      <c r="W3" s="1"/>
      <c r="X3" s="1"/>
      <c r="Y3" s="1"/>
      <c r="Z3" s="1"/>
      <c r="AA3" s="1"/>
      <c r="AB3" s="1"/>
      <c r="AC3" s="1"/>
      <c r="AD3" s="1"/>
      <c r="AE3" s="1"/>
      <c r="AF3" s="1"/>
      <c r="AG3" s="1"/>
      <c r="AH3" s="1"/>
      <c r="AI3" s="1"/>
      <c r="AJ3" s="1"/>
      <c r="AK3" s="1"/>
      <c r="AL3" s="1"/>
      <c r="AM3" s="1"/>
      <c r="AN3" s="1"/>
      <c r="AO3" s="1"/>
      <c r="AP3" s="1"/>
      <c r="AQ3" s="1"/>
      <c r="AR3" s="1"/>
    </row>
    <row r="4" spans="1:44" ht="15.75" thickBot="1" x14ac:dyDescent="0.3">
      <c r="A4" s="16"/>
      <c r="B4" s="16"/>
      <c r="C4" s="16"/>
      <c r="D4" s="16"/>
      <c r="E4" s="16"/>
      <c r="F4" s="16"/>
      <c r="G4" s="16"/>
      <c r="H4" s="16"/>
      <c r="I4" s="16"/>
      <c r="J4" s="16"/>
      <c r="K4" s="16"/>
      <c r="L4" s="16"/>
      <c r="M4" s="16"/>
      <c r="N4" s="16"/>
      <c r="O4" s="16"/>
      <c r="P4" s="16"/>
      <c r="Q4" s="16"/>
      <c r="R4" s="16"/>
      <c r="S4" s="16"/>
      <c r="T4" s="16"/>
      <c r="U4" s="16"/>
      <c r="V4" s="16"/>
      <c r="W4" s="1"/>
      <c r="X4" s="1"/>
      <c r="Y4" s="1"/>
      <c r="Z4" s="1"/>
      <c r="AA4" s="1"/>
      <c r="AB4" s="1"/>
      <c r="AC4" s="1"/>
      <c r="AD4" s="1"/>
      <c r="AE4" s="1"/>
      <c r="AF4" s="1"/>
      <c r="AG4" s="1"/>
      <c r="AH4" s="1"/>
      <c r="AI4" s="1"/>
      <c r="AJ4" s="1"/>
      <c r="AK4" s="1"/>
      <c r="AL4" s="1"/>
      <c r="AM4" s="1"/>
      <c r="AN4" s="1"/>
      <c r="AO4" s="1"/>
      <c r="AP4" s="1"/>
      <c r="AQ4" s="1"/>
      <c r="AR4" s="1"/>
    </row>
    <row r="5" spans="1:44" ht="17.25" customHeight="1" thickTop="1" x14ac:dyDescent="0.25">
      <c r="A5" s="16"/>
      <c r="B5" s="16"/>
      <c r="C5" s="43"/>
      <c r="D5" s="44"/>
      <c r="E5" s="44"/>
      <c r="F5" s="44"/>
      <c r="G5" s="44"/>
      <c r="H5" s="44"/>
      <c r="I5" s="44"/>
      <c r="J5" s="44"/>
      <c r="K5" s="44"/>
      <c r="L5" s="44"/>
      <c r="M5" s="44"/>
      <c r="N5" s="44"/>
      <c r="O5" s="44"/>
      <c r="P5" s="44"/>
      <c r="Q5" s="44"/>
      <c r="R5" s="44"/>
      <c r="S5" s="45"/>
      <c r="T5" s="16"/>
      <c r="U5" s="39" t="s">
        <v>17</v>
      </c>
      <c r="V5" s="16"/>
      <c r="W5" s="1"/>
      <c r="X5" s="1"/>
      <c r="Y5" s="1"/>
      <c r="Z5" s="1"/>
      <c r="AA5" s="1"/>
      <c r="AB5" s="1"/>
      <c r="AC5" s="1"/>
      <c r="AD5" s="1"/>
      <c r="AE5" s="1"/>
      <c r="AF5" s="1"/>
      <c r="AG5" s="1"/>
      <c r="AH5" s="1"/>
      <c r="AI5" s="1"/>
      <c r="AJ5" s="1"/>
      <c r="AK5" s="1"/>
      <c r="AL5" s="1"/>
      <c r="AM5" s="1"/>
      <c r="AN5" s="1"/>
      <c r="AO5" s="1"/>
      <c r="AP5" s="1"/>
      <c r="AQ5" s="1"/>
      <c r="AR5" s="1"/>
    </row>
    <row r="6" spans="1:44" ht="17.25" customHeight="1" x14ac:dyDescent="0.25">
      <c r="A6" s="16"/>
      <c r="B6" s="16"/>
      <c r="C6" s="46"/>
      <c r="D6" s="47"/>
      <c r="E6" s="47"/>
      <c r="F6" s="47"/>
      <c r="G6" s="47"/>
      <c r="H6" s="47"/>
      <c r="I6" s="47"/>
      <c r="J6" s="47"/>
      <c r="K6" s="47"/>
      <c r="L6" s="47"/>
      <c r="M6" s="47"/>
      <c r="N6" s="47"/>
      <c r="O6" s="47"/>
      <c r="P6" s="47"/>
      <c r="Q6" s="47"/>
      <c r="R6" s="47"/>
      <c r="S6" s="48"/>
      <c r="T6" s="16"/>
      <c r="U6" s="39"/>
      <c r="V6" s="16"/>
      <c r="W6" s="1"/>
      <c r="X6" s="1"/>
      <c r="Y6" s="1"/>
      <c r="Z6" s="1"/>
      <c r="AA6" s="1"/>
      <c r="AB6" s="1"/>
      <c r="AC6" s="1"/>
      <c r="AD6" s="1"/>
      <c r="AE6" s="1"/>
      <c r="AF6" s="1"/>
      <c r="AG6" s="1"/>
      <c r="AH6" s="1"/>
      <c r="AI6" s="1"/>
      <c r="AJ6" s="1"/>
      <c r="AK6" s="1"/>
      <c r="AL6" s="1"/>
      <c r="AM6" s="1"/>
      <c r="AN6" s="1"/>
      <c r="AO6" s="1"/>
      <c r="AP6" s="1"/>
      <c r="AQ6" s="1"/>
      <c r="AR6" s="1"/>
    </row>
    <row r="7" spans="1:44" ht="17.25" customHeight="1" thickBot="1" x14ac:dyDescent="0.3">
      <c r="A7" s="16"/>
      <c r="B7" s="16"/>
      <c r="C7" s="49"/>
      <c r="D7" s="50"/>
      <c r="E7" s="50"/>
      <c r="F7" s="50"/>
      <c r="G7" s="50"/>
      <c r="H7" s="50"/>
      <c r="I7" s="50"/>
      <c r="J7" s="50"/>
      <c r="K7" s="50"/>
      <c r="L7" s="50"/>
      <c r="M7" s="50"/>
      <c r="N7" s="50"/>
      <c r="O7" s="50"/>
      <c r="P7" s="50"/>
      <c r="Q7" s="50"/>
      <c r="R7" s="50"/>
      <c r="S7" s="51"/>
      <c r="T7" s="16"/>
      <c r="U7" s="25" t="s">
        <v>31</v>
      </c>
      <c r="V7" s="16"/>
      <c r="W7" s="1"/>
      <c r="X7" s="1"/>
      <c r="Y7" s="1"/>
      <c r="Z7" s="1"/>
      <c r="AA7" s="1"/>
      <c r="AB7" s="1"/>
      <c r="AC7" s="1"/>
      <c r="AD7" s="1"/>
      <c r="AE7" s="1"/>
      <c r="AF7" s="1"/>
      <c r="AG7" s="1"/>
      <c r="AH7" s="1"/>
      <c r="AI7" s="1"/>
      <c r="AJ7" s="1"/>
      <c r="AK7" s="1"/>
      <c r="AL7" s="1"/>
      <c r="AM7" s="1"/>
      <c r="AN7" s="1"/>
      <c r="AO7" s="1"/>
      <c r="AP7" s="1"/>
      <c r="AQ7" s="1"/>
      <c r="AR7" s="1"/>
    </row>
    <row r="8" spans="1:44" ht="0.75" customHeight="1" thickTop="1" x14ac:dyDescent="0.25">
      <c r="A8" s="16"/>
      <c r="B8" s="16"/>
      <c r="C8" s="16" t="s">
        <v>30</v>
      </c>
      <c r="D8" s="16"/>
      <c r="E8" s="16"/>
      <c r="F8" s="16"/>
      <c r="G8" s="16"/>
      <c r="H8" s="16"/>
      <c r="I8" s="16"/>
      <c r="J8" s="16"/>
      <c r="K8" s="16"/>
      <c r="L8" s="16"/>
      <c r="M8" s="16"/>
      <c r="N8" s="16"/>
      <c r="O8" s="16"/>
      <c r="P8" s="16"/>
      <c r="Q8" s="16"/>
      <c r="R8" s="16"/>
      <c r="S8" s="16"/>
      <c r="T8" s="16"/>
      <c r="U8" s="16"/>
      <c r="V8" s="16"/>
      <c r="W8" s="1"/>
      <c r="X8" s="1"/>
      <c r="Y8" s="1"/>
      <c r="Z8" s="1"/>
      <c r="AA8" s="1"/>
      <c r="AB8" s="1"/>
      <c r="AC8" s="1"/>
      <c r="AD8" s="1"/>
      <c r="AE8" s="1"/>
      <c r="AF8" s="1"/>
      <c r="AG8" s="1"/>
      <c r="AH8" s="1"/>
      <c r="AI8" s="1"/>
      <c r="AJ8" s="1"/>
      <c r="AK8" s="1"/>
      <c r="AL8" s="1"/>
      <c r="AM8" s="1"/>
      <c r="AN8" s="1"/>
      <c r="AO8" s="1"/>
      <c r="AP8" s="1"/>
      <c r="AQ8" s="1"/>
      <c r="AR8" s="1"/>
    </row>
    <row r="9" spans="1:44" ht="16.5" customHeight="1" x14ac:dyDescent="0.25">
      <c r="A9" s="16"/>
      <c r="B9" s="16"/>
      <c r="C9" s="16"/>
      <c r="D9" s="16"/>
      <c r="E9" s="16"/>
      <c r="F9" s="16"/>
      <c r="G9" s="16"/>
      <c r="H9" s="40" t="str">
        <f>IF(ISBLANK(C5),"",'P01'!WZT17)</f>
        <v/>
      </c>
      <c r="I9" s="40"/>
      <c r="J9" s="40"/>
      <c r="K9" s="40"/>
      <c r="L9" s="40"/>
      <c r="M9" s="40"/>
      <c r="N9" s="16"/>
      <c r="O9" s="16"/>
      <c r="P9" s="16"/>
      <c r="Q9" s="16"/>
      <c r="R9" s="16"/>
      <c r="S9" s="16"/>
      <c r="T9" s="16"/>
      <c r="U9" s="16"/>
      <c r="V9" s="16"/>
      <c r="W9" s="1"/>
      <c r="X9" s="1"/>
      <c r="Y9" s="1"/>
      <c r="Z9" s="1"/>
      <c r="AA9" s="1"/>
      <c r="AB9" s="1"/>
      <c r="AC9" s="1"/>
      <c r="AD9" s="1"/>
      <c r="AE9" s="1"/>
      <c r="AF9" s="1"/>
      <c r="AG9" s="1"/>
      <c r="AH9" s="1"/>
      <c r="AI9" s="1"/>
      <c r="AJ9" s="1"/>
      <c r="AK9" s="1"/>
      <c r="AL9" s="1"/>
      <c r="AM9" s="1"/>
      <c r="AN9" s="1"/>
      <c r="AO9" s="1"/>
      <c r="AP9" s="1"/>
      <c r="AQ9" s="1"/>
      <c r="AR9" s="1"/>
    </row>
    <row r="10" spans="1:44" ht="3.75" customHeight="1" x14ac:dyDescent="0.25">
      <c r="A10" s="16"/>
      <c r="B10" s="16"/>
      <c r="C10" s="16"/>
      <c r="D10" s="16"/>
      <c r="E10" s="16"/>
      <c r="F10" s="16"/>
      <c r="G10" s="16"/>
      <c r="H10" s="16"/>
      <c r="I10" s="16"/>
      <c r="J10" s="16"/>
      <c r="K10" s="16"/>
      <c r="L10" s="16"/>
      <c r="M10" s="16"/>
      <c r="N10" s="16"/>
      <c r="O10" s="16"/>
      <c r="P10" s="16"/>
      <c r="Q10" s="16"/>
      <c r="R10" s="16"/>
      <c r="S10" s="16"/>
      <c r="T10" s="16"/>
      <c r="U10" s="16"/>
      <c r="V10" s="16"/>
      <c r="W10" s="1"/>
      <c r="X10" s="1"/>
      <c r="Y10" s="1"/>
      <c r="Z10" s="1"/>
      <c r="AA10" s="1"/>
      <c r="AB10" s="1"/>
      <c r="AC10" s="1"/>
      <c r="AD10" s="1"/>
      <c r="AE10" s="1"/>
      <c r="AF10" s="1"/>
      <c r="AG10" s="1"/>
      <c r="AH10" s="1"/>
      <c r="AI10" s="1"/>
      <c r="AJ10" s="1"/>
      <c r="AK10" s="1"/>
      <c r="AL10" s="1"/>
      <c r="AM10" s="1"/>
      <c r="AN10" s="1"/>
      <c r="AO10" s="1"/>
      <c r="AP10" s="1"/>
      <c r="AQ10" s="1"/>
      <c r="AR10" s="1"/>
    </row>
    <row r="11" spans="1:44" ht="18.75" customHeight="1" x14ac:dyDescent="0.25">
      <c r="A11" s="16"/>
      <c r="B11" s="38" t="str">
        <f>'P01'!WZR7</f>
        <v/>
      </c>
      <c r="C11" s="41" t="str">
        <f>'P01'!WZT7</f>
        <v/>
      </c>
      <c r="D11" s="41"/>
      <c r="E11" s="41"/>
      <c r="F11" s="41"/>
      <c r="G11" s="41"/>
      <c r="H11" s="41"/>
      <c r="I11" s="41"/>
      <c r="J11" s="41"/>
      <c r="K11" s="41"/>
      <c r="L11" s="41"/>
      <c r="M11" s="41"/>
      <c r="N11" s="16"/>
      <c r="O11" s="41" t="str">
        <f>'P01'!WZU7</f>
        <v/>
      </c>
      <c r="P11" s="41"/>
      <c r="Q11" s="41"/>
      <c r="R11" s="41"/>
      <c r="S11" s="41"/>
      <c r="T11" s="41"/>
      <c r="U11" s="41"/>
      <c r="V11" s="16"/>
      <c r="W11" s="1"/>
      <c r="X11" s="1"/>
      <c r="Y11" s="1"/>
      <c r="Z11" s="1"/>
      <c r="AA11" s="1"/>
      <c r="AB11" s="1"/>
      <c r="AC11" s="1"/>
      <c r="AD11" s="1"/>
      <c r="AE11" s="1"/>
      <c r="AF11" s="1"/>
      <c r="AG11" s="1"/>
      <c r="AH11" s="1"/>
      <c r="AI11" s="1"/>
      <c r="AJ11" s="1"/>
      <c r="AK11" s="1"/>
      <c r="AL11" s="1"/>
      <c r="AM11" s="1"/>
      <c r="AN11" s="1"/>
      <c r="AO11" s="1"/>
      <c r="AP11" s="1"/>
      <c r="AQ11" s="1"/>
      <c r="AR11" s="1"/>
    </row>
    <row r="12" spans="1:44" ht="18.75" customHeight="1" x14ac:dyDescent="0.25">
      <c r="A12" s="16"/>
      <c r="B12" s="38"/>
      <c r="C12" s="41"/>
      <c r="D12" s="41"/>
      <c r="E12" s="41"/>
      <c r="F12" s="41"/>
      <c r="G12" s="41"/>
      <c r="H12" s="41"/>
      <c r="I12" s="41"/>
      <c r="J12" s="41"/>
      <c r="K12" s="41"/>
      <c r="L12" s="41"/>
      <c r="M12" s="41"/>
      <c r="N12" s="16"/>
      <c r="O12" s="41"/>
      <c r="P12" s="41"/>
      <c r="Q12" s="41"/>
      <c r="R12" s="41"/>
      <c r="S12" s="41"/>
      <c r="T12" s="41"/>
      <c r="U12" s="41"/>
      <c r="V12" s="16"/>
      <c r="W12" s="1"/>
      <c r="X12" s="1"/>
      <c r="Y12" s="1"/>
      <c r="Z12" s="1"/>
      <c r="AA12" s="1"/>
      <c r="AB12" s="1"/>
      <c r="AC12" s="1"/>
      <c r="AD12" s="1"/>
      <c r="AE12" s="1"/>
      <c r="AF12" s="1"/>
      <c r="AG12" s="1"/>
      <c r="AH12" s="1"/>
      <c r="AI12" s="1"/>
      <c r="AJ12" s="1"/>
      <c r="AK12" s="1"/>
      <c r="AL12" s="1"/>
      <c r="AM12" s="1"/>
      <c r="AN12" s="1"/>
      <c r="AO12" s="1"/>
      <c r="AP12" s="1"/>
      <c r="AQ12" s="1"/>
      <c r="AR12" s="1"/>
    </row>
    <row r="13" spans="1:44" ht="18.75" customHeight="1" x14ac:dyDescent="0.25">
      <c r="A13" s="16"/>
      <c r="B13" s="16"/>
      <c r="C13" s="41"/>
      <c r="D13" s="41"/>
      <c r="E13" s="41"/>
      <c r="F13" s="41"/>
      <c r="G13" s="41"/>
      <c r="H13" s="41"/>
      <c r="I13" s="41"/>
      <c r="J13" s="41"/>
      <c r="K13" s="41"/>
      <c r="L13" s="41"/>
      <c r="M13" s="41"/>
      <c r="N13" s="16"/>
      <c r="O13" s="41"/>
      <c r="P13" s="41"/>
      <c r="Q13" s="41"/>
      <c r="R13" s="41"/>
      <c r="S13" s="41"/>
      <c r="T13" s="41"/>
      <c r="U13" s="41"/>
      <c r="V13" s="16"/>
      <c r="W13" s="1"/>
      <c r="X13" s="1"/>
      <c r="Y13" s="1"/>
      <c r="Z13" s="1"/>
      <c r="AA13" s="1"/>
      <c r="AB13" s="1"/>
      <c r="AC13" s="1"/>
      <c r="AD13" s="1"/>
      <c r="AE13" s="1"/>
      <c r="AF13" s="1"/>
      <c r="AG13" s="1"/>
      <c r="AH13" s="1"/>
      <c r="AI13" s="1"/>
      <c r="AJ13" s="1"/>
      <c r="AK13" s="1"/>
      <c r="AL13" s="1"/>
      <c r="AM13" s="1"/>
      <c r="AN13" s="1"/>
      <c r="AO13" s="1"/>
      <c r="AP13" s="1"/>
      <c r="AQ13" s="1"/>
      <c r="AR13" s="1"/>
    </row>
    <row r="14" spans="1:44" ht="18.75" customHeight="1" x14ac:dyDescent="0.25">
      <c r="A14" s="16"/>
      <c r="B14" s="16"/>
      <c r="C14" s="41"/>
      <c r="D14" s="41"/>
      <c r="E14" s="41"/>
      <c r="F14" s="41"/>
      <c r="G14" s="41"/>
      <c r="H14" s="41"/>
      <c r="I14" s="41"/>
      <c r="J14" s="41"/>
      <c r="K14" s="41"/>
      <c r="L14" s="41"/>
      <c r="M14" s="41"/>
      <c r="N14" s="16"/>
      <c r="O14" s="41"/>
      <c r="P14" s="41"/>
      <c r="Q14" s="41"/>
      <c r="R14" s="41"/>
      <c r="S14" s="41"/>
      <c r="T14" s="41"/>
      <c r="U14" s="41"/>
      <c r="V14" s="16"/>
      <c r="W14" s="1"/>
      <c r="X14" s="1"/>
      <c r="Y14" s="1"/>
      <c r="Z14" s="1"/>
      <c r="AA14" s="1"/>
      <c r="AB14" s="1"/>
      <c r="AC14" s="1"/>
      <c r="AD14" s="1"/>
      <c r="AE14" s="1"/>
      <c r="AF14" s="1"/>
      <c r="AG14" s="1"/>
      <c r="AH14" s="1"/>
      <c r="AI14" s="1"/>
      <c r="AJ14" s="1"/>
      <c r="AK14" s="1"/>
      <c r="AL14" s="1"/>
      <c r="AM14" s="1"/>
      <c r="AN14" s="1"/>
      <c r="AO14" s="1"/>
      <c r="AP14" s="1"/>
      <c r="AQ14" s="1"/>
      <c r="AR14" s="1"/>
    </row>
    <row r="15" spans="1:44" ht="18.75" customHeight="1" x14ac:dyDescent="0.25">
      <c r="A15" s="16"/>
      <c r="B15" s="16"/>
      <c r="C15" s="41"/>
      <c r="D15" s="41"/>
      <c r="E15" s="41"/>
      <c r="F15" s="41"/>
      <c r="G15" s="41"/>
      <c r="H15" s="41"/>
      <c r="I15" s="41"/>
      <c r="J15" s="41"/>
      <c r="K15" s="41"/>
      <c r="L15" s="41"/>
      <c r="M15" s="41"/>
      <c r="N15" s="16"/>
      <c r="O15" s="41"/>
      <c r="P15" s="41"/>
      <c r="Q15" s="41"/>
      <c r="R15" s="41"/>
      <c r="S15" s="41"/>
      <c r="T15" s="41"/>
      <c r="U15" s="41"/>
      <c r="V15" s="16"/>
      <c r="W15" s="1"/>
      <c r="X15" s="1"/>
      <c r="Y15" s="1"/>
      <c r="Z15" s="1"/>
      <c r="AA15" s="1"/>
      <c r="AB15" s="1"/>
      <c r="AC15" s="1"/>
      <c r="AD15" s="1"/>
      <c r="AE15" s="1"/>
      <c r="AF15" s="1"/>
      <c r="AG15" s="1"/>
      <c r="AH15" s="1"/>
      <c r="AI15" s="1"/>
      <c r="AJ15" s="1"/>
      <c r="AK15" s="1"/>
      <c r="AL15" s="1"/>
      <c r="AM15" s="1"/>
      <c r="AN15" s="1"/>
      <c r="AO15" s="1"/>
      <c r="AP15" s="1"/>
      <c r="AQ15" s="1"/>
      <c r="AR15" s="1"/>
    </row>
    <row r="16" spans="1:44" ht="18.75" customHeight="1" x14ac:dyDescent="0.25">
      <c r="A16" s="16"/>
      <c r="B16" s="16"/>
      <c r="C16" s="41"/>
      <c r="D16" s="41"/>
      <c r="E16" s="41"/>
      <c r="F16" s="41"/>
      <c r="G16" s="41"/>
      <c r="H16" s="41"/>
      <c r="I16" s="41"/>
      <c r="J16" s="41"/>
      <c r="K16" s="41"/>
      <c r="L16" s="41"/>
      <c r="M16" s="41"/>
      <c r="N16" s="16"/>
      <c r="O16" s="41"/>
      <c r="P16" s="41"/>
      <c r="Q16" s="41"/>
      <c r="R16" s="41"/>
      <c r="S16" s="41"/>
      <c r="T16" s="41"/>
      <c r="U16" s="41"/>
      <c r="V16" s="16"/>
      <c r="W16" s="1"/>
      <c r="X16" s="1"/>
      <c r="Y16" s="1"/>
      <c r="Z16" s="1"/>
      <c r="AA16" s="1"/>
      <c r="AB16" s="1"/>
      <c r="AC16" s="1"/>
      <c r="AD16" s="1"/>
      <c r="AE16" s="1"/>
      <c r="AF16" s="1"/>
      <c r="AG16" s="1"/>
      <c r="AH16" s="1"/>
      <c r="AI16" s="1"/>
      <c r="AJ16" s="1"/>
      <c r="AK16" s="1"/>
      <c r="AL16" s="1"/>
      <c r="AM16" s="1"/>
      <c r="AN16" s="1"/>
      <c r="AO16" s="1"/>
      <c r="AP16" s="1"/>
      <c r="AQ16" s="1"/>
      <c r="AR16" s="1"/>
    </row>
    <row r="17" spans="1:44" ht="9" customHeight="1" x14ac:dyDescent="0.25">
      <c r="A17" s="16"/>
      <c r="B17" s="16"/>
      <c r="C17" s="16"/>
      <c r="D17" s="16"/>
      <c r="E17" s="16"/>
      <c r="F17" s="16"/>
      <c r="G17" s="16"/>
      <c r="H17" s="16"/>
      <c r="I17" s="16"/>
      <c r="J17" s="16"/>
      <c r="K17" s="16"/>
      <c r="L17" s="16"/>
      <c r="M17" s="16"/>
      <c r="N17" s="16"/>
      <c r="O17" s="16"/>
      <c r="P17" s="16"/>
      <c r="Q17" s="16"/>
      <c r="R17" s="16"/>
      <c r="S17" s="16"/>
      <c r="T17" s="16"/>
      <c r="U17" s="16"/>
      <c r="V17" s="16"/>
      <c r="W17" s="1"/>
      <c r="X17" s="1"/>
      <c r="Y17" s="1"/>
      <c r="Z17" s="1"/>
      <c r="AA17" s="1"/>
      <c r="AB17" s="1"/>
      <c r="AC17" s="1"/>
      <c r="AD17" s="1"/>
      <c r="AE17" s="1"/>
      <c r="AF17" s="1"/>
      <c r="AG17" s="1"/>
      <c r="AH17" s="1"/>
      <c r="AI17" s="1"/>
      <c r="AJ17" s="1"/>
      <c r="AK17" s="1"/>
      <c r="AL17" s="1"/>
      <c r="AM17" s="1"/>
      <c r="AN17" s="1"/>
      <c r="AO17" s="1"/>
      <c r="AP17" s="1"/>
      <c r="AQ17" s="1"/>
      <c r="AR17" s="1"/>
    </row>
    <row r="18" spans="1:44" ht="18.75" customHeight="1" x14ac:dyDescent="0.25">
      <c r="A18" s="16"/>
      <c r="B18" s="38" t="str">
        <f>'P01'!WZR8</f>
        <v/>
      </c>
      <c r="C18" s="41" t="str">
        <f>'P01'!WZT8</f>
        <v/>
      </c>
      <c r="D18" s="41"/>
      <c r="E18" s="41"/>
      <c r="F18" s="41"/>
      <c r="G18" s="41"/>
      <c r="H18" s="41"/>
      <c r="I18" s="41"/>
      <c r="J18" s="41"/>
      <c r="K18" s="41"/>
      <c r="L18" s="41"/>
      <c r="M18" s="41"/>
      <c r="N18" s="16"/>
      <c r="O18" s="42" t="str">
        <f>'P01'!WZU8</f>
        <v/>
      </c>
      <c r="P18" s="42"/>
      <c r="Q18" s="42"/>
      <c r="R18" s="42"/>
      <c r="S18" s="42"/>
      <c r="T18" s="42"/>
      <c r="U18" s="42"/>
      <c r="V18" s="16"/>
      <c r="W18" s="1"/>
      <c r="X18" s="1"/>
      <c r="Y18" s="1"/>
      <c r="Z18" s="1"/>
      <c r="AA18" s="1"/>
      <c r="AB18" s="1"/>
      <c r="AC18" s="1"/>
      <c r="AD18" s="1"/>
      <c r="AE18" s="1"/>
      <c r="AF18" s="1"/>
      <c r="AG18" s="1"/>
      <c r="AH18" s="1"/>
      <c r="AI18" s="1"/>
      <c r="AJ18" s="1"/>
      <c r="AK18" s="1"/>
      <c r="AL18" s="1"/>
      <c r="AM18" s="1"/>
      <c r="AN18" s="1"/>
      <c r="AO18" s="1"/>
      <c r="AP18" s="1"/>
      <c r="AQ18" s="1"/>
      <c r="AR18" s="1"/>
    </row>
    <row r="19" spans="1:44" ht="18.75" customHeight="1" x14ac:dyDescent="0.25">
      <c r="A19" s="16"/>
      <c r="B19" s="38"/>
      <c r="C19" s="41"/>
      <c r="D19" s="41"/>
      <c r="E19" s="41"/>
      <c r="F19" s="41"/>
      <c r="G19" s="41"/>
      <c r="H19" s="41"/>
      <c r="I19" s="41"/>
      <c r="J19" s="41"/>
      <c r="K19" s="41"/>
      <c r="L19" s="41"/>
      <c r="M19" s="41"/>
      <c r="N19" s="16"/>
      <c r="O19" s="42"/>
      <c r="P19" s="42"/>
      <c r="Q19" s="42"/>
      <c r="R19" s="42"/>
      <c r="S19" s="42"/>
      <c r="T19" s="42"/>
      <c r="U19" s="42"/>
      <c r="V19" s="16"/>
      <c r="W19" s="1"/>
      <c r="X19" s="1"/>
      <c r="Y19" s="1"/>
      <c r="Z19" s="1"/>
      <c r="AA19" s="1"/>
      <c r="AB19" s="1"/>
      <c r="AC19" s="1"/>
      <c r="AD19" s="1"/>
      <c r="AE19" s="1"/>
      <c r="AF19" s="1"/>
      <c r="AG19" s="1"/>
      <c r="AH19" s="1"/>
      <c r="AI19" s="1"/>
      <c r="AJ19" s="1"/>
      <c r="AK19" s="1"/>
      <c r="AL19" s="1"/>
      <c r="AM19" s="1"/>
      <c r="AN19" s="1"/>
      <c r="AO19" s="1"/>
      <c r="AP19" s="1"/>
      <c r="AQ19" s="1"/>
      <c r="AR19" s="1"/>
    </row>
    <row r="20" spans="1:44" ht="18.75" customHeight="1" x14ac:dyDescent="0.25">
      <c r="A20" s="16"/>
      <c r="B20" s="16"/>
      <c r="C20" s="41"/>
      <c r="D20" s="41"/>
      <c r="E20" s="41"/>
      <c r="F20" s="41"/>
      <c r="G20" s="41"/>
      <c r="H20" s="41"/>
      <c r="I20" s="41"/>
      <c r="J20" s="41"/>
      <c r="K20" s="41"/>
      <c r="L20" s="41"/>
      <c r="M20" s="41"/>
      <c r="N20" s="16"/>
      <c r="O20" s="42"/>
      <c r="P20" s="42"/>
      <c r="Q20" s="42"/>
      <c r="R20" s="42"/>
      <c r="S20" s="42"/>
      <c r="T20" s="42"/>
      <c r="U20" s="42"/>
      <c r="V20" s="16"/>
      <c r="W20" s="1"/>
      <c r="X20" s="1"/>
      <c r="Y20" s="1"/>
      <c r="Z20" s="1"/>
      <c r="AA20" s="1"/>
      <c r="AB20" s="1"/>
      <c r="AC20" s="1"/>
      <c r="AD20" s="1"/>
      <c r="AE20" s="1"/>
      <c r="AF20" s="1"/>
      <c r="AG20" s="1"/>
      <c r="AH20" s="1"/>
      <c r="AI20" s="1"/>
      <c r="AJ20" s="1"/>
      <c r="AK20" s="1"/>
      <c r="AL20" s="1"/>
      <c r="AM20" s="1"/>
      <c r="AN20" s="1"/>
      <c r="AO20" s="1"/>
      <c r="AP20" s="1"/>
      <c r="AQ20" s="1"/>
      <c r="AR20" s="1"/>
    </row>
    <row r="21" spans="1:44" ht="18.75" customHeight="1" x14ac:dyDescent="0.25">
      <c r="A21" s="16"/>
      <c r="B21" s="16"/>
      <c r="C21" s="41"/>
      <c r="D21" s="41"/>
      <c r="E21" s="41"/>
      <c r="F21" s="41"/>
      <c r="G21" s="41"/>
      <c r="H21" s="41"/>
      <c r="I21" s="41"/>
      <c r="J21" s="41"/>
      <c r="K21" s="41"/>
      <c r="L21" s="41"/>
      <c r="M21" s="41"/>
      <c r="N21" s="16"/>
      <c r="O21" s="42"/>
      <c r="P21" s="42"/>
      <c r="Q21" s="42"/>
      <c r="R21" s="42"/>
      <c r="S21" s="42"/>
      <c r="T21" s="42"/>
      <c r="U21" s="42"/>
      <c r="V21" s="16"/>
      <c r="W21" s="1"/>
      <c r="X21" s="1"/>
      <c r="Y21" s="1"/>
      <c r="Z21" s="1"/>
      <c r="AA21" s="1"/>
      <c r="AB21" s="1"/>
      <c r="AC21" s="1"/>
      <c r="AD21" s="1"/>
      <c r="AE21" s="1"/>
      <c r="AF21" s="1"/>
      <c r="AG21" s="1"/>
      <c r="AH21" s="1"/>
      <c r="AI21" s="1"/>
      <c r="AJ21" s="1"/>
      <c r="AK21" s="1"/>
      <c r="AL21" s="1"/>
      <c r="AM21" s="1"/>
      <c r="AN21" s="1"/>
      <c r="AO21" s="1"/>
      <c r="AP21" s="1"/>
      <c r="AQ21" s="1"/>
      <c r="AR21" s="1"/>
    </row>
    <row r="22" spans="1:44" ht="18.75" customHeight="1" x14ac:dyDescent="0.25">
      <c r="A22" s="16"/>
      <c r="B22" s="16"/>
      <c r="C22" s="41"/>
      <c r="D22" s="41"/>
      <c r="E22" s="41"/>
      <c r="F22" s="41"/>
      <c r="G22" s="41"/>
      <c r="H22" s="41"/>
      <c r="I22" s="41"/>
      <c r="J22" s="41"/>
      <c r="K22" s="41"/>
      <c r="L22" s="41"/>
      <c r="M22" s="41"/>
      <c r="N22" s="16"/>
      <c r="O22" s="42"/>
      <c r="P22" s="42"/>
      <c r="Q22" s="42"/>
      <c r="R22" s="42"/>
      <c r="S22" s="42"/>
      <c r="T22" s="42"/>
      <c r="U22" s="42"/>
      <c r="V22" s="16"/>
      <c r="W22" s="1"/>
      <c r="X22" s="1"/>
      <c r="Y22" s="1"/>
      <c r="Z22" s="1"/>
      <c r="AA22" s="1"/>
      <c r="AB22" s="1"/>
      <c r="AC22" s="1"/>
      <c r="AD22" s="1"/>
      <c r="AE22" s="1"/>
      <c r="AF22" s="1"/>
      <c r="AG22" s="1"/>
      <c r="AH22" s="1"/>
      <c r="AI22" s="1"/>
      <c r="AJ22" s="1"/>
      <c r="AK22" s="1"/>
      <c r="AL22" s="1"/>
      <c r="AM22" s="1"/>
      <c r="AN22" s="1"/>
      <c r="AO22" s="1"/>
      <c r="AP22" s="1"/>
      <c r="AQ22" s="1"/>
      <c r="AR22" s="1"/>
    </row>
    <row r="23" spans="1:44" ht="18.75" customHeight="1" x14ac:dyDescent="0.25">
      <c r="A23" s="16"/>
      <c r="B23" s="16"/>
      <c r="C23" s="41"/>
      <c r="D23" s="41"/>
      <c r="E23" s="41"/>
      <c r="F23" s="41"/>
      <c r="G23" s="41"/>
      <c r="H23" s="41"/>
      <c r="I23" s="41"/>
      <c r="J23" s="41"/>
      <c r="K23" s="41"/>
      <c r="L23" s="41"/>
      <c r="M23" s="41"/>
      <c r="N23" s="16"/>
      <c r="O23" s="42"/>
      <c r="P23" s="42"/>
      <c r="Q23" s="42"/>
      <c r="R23" s="42"/>
      <c r="S23" s="42"/>
      <c r="T23" s="42"/>
      <c r="U23" s="42"/>
      <c r="V23" s="16"/>
      <c r="W23" s="1"/>
      <c r="X23" s="1"/>
      <c r="Y23" s="1"/>
      <c r="Z23" s="1"/>
      <c r="AA23" s="1"/>
      <c r="AB23" s="1"/>
      <c r="AC23" s="1"/>
      <c r="AD23" s="1"/>
      <c r="AE23" s="1"/>
      <c r="AF23" s="1"/>
      <c r="AG23" s="1"/>
      <c r="AH23" s="1"/>
      <c r="AI23" s="1"/>
      <c r="AJ23" s="1"/>
      <c r="AK23" s="1"/>
      <c r="AL23" s="1"/>
      <c r="AM23" s="1"/>
      <c r="AN23" s="1"/>
      <c r="AO23" s="1"/>
      <c r="AP23" s="1"/>
      <c r="AQ23" s="1"/>
      <c r="AR23" s="1"/>
    </row>
    <row r="24" spans="1:44" ht="9" customHeight="1" x14ac:dyDescent="0.25">
      <c r="A24" s="16"/>
      <c r="B24" s="16"/>
      <c r="C24" s="16"/>
      <c r="D24" s="16"/>
      <c r="E24" s="16"/>
      <c r="F24" s="16"/>
      <c r="G24" s="16"/>
      <c r="H24" s="16"/>
      <c r="I24" s="16"/>
      <c r="J24" s="16"/>
      <c r="K24" s="16"/>
      <c r="L24" s="16"/>
      <c r="M24" s="16"/>
      <c r="N24" s="16"/>
      <c r="O24" s="16"/>
      <c r="P24" s="16"/>
      <c r="Q24" s="16"/>
      <c r="R24" s="16"/>
      <c r="S24" s="16"/>
      <c r="T24" s="16"/>
      <c r="U24" s="16"/>
      <c r="V24" s="16"/>
      <c r="W24" s="1"/>
      <c r="X24" s="1"/>
      <c r="Y24" s="1"/>
      <c r="Z24" s="1"/>
      <c r="AA24" s="1"/>
      <c r="AB24" s="1"/>
      <c r="AC24" s="1"/>
      <c r="AD24" s="1"/>
      <c r="AE24" s="1"/>
      <c r="AF24" s="1"/>
      <c r="AG24" s="1"/>
      <c r="AH24" s="1"/>
      <c r="AI24" s="1"/>
      <c r="AJ24" s="1"/>
      <c r="AK24" s="1"/>
      <c r="AL24" s="1"/>
      <c r="AM24" s="1"/>
      <c r="AN24" s="1"/>
      <c r="AO24" s="1"/>
      <c r="AP24" s="1"/>
      <c r="AQ24" s="1"/>
      <c r="AR24" s="1"/>
    </row>
    <row r="25" spans="1:44" ht="18.75" customHeight="1" x14ac:dyDescent="0.25">
      <c r="A25" s="16"/>
      <c r="B25" s="38" t="str">
        <f>'P01'!WZR9</f>
        <v/>
      </c>
      <c r="C25" s="41" t="str">
        <f>'P01'!WZT9</f>
        <v/>
      </c>
      <c r="D25" s="41"/>
      <c r="E25" s="41"/>
      <c r="F25" s="41"/>
      <c r="G25" s="41"/>
      <c r="H25" s="41"/>
      <c r="I25" s="41"/>
      <c r="J25" s="41"/>
      <c r="K25" s="41"/>
      <c r="L25" s="41"/>
      <c r="M25" s="41"/>
      <c r="N25" s="16"/>
      <c r="O25" s="42" t="str">
        <f>'P01'!WZU9</f>
        <v/>
      </c>
      <c r="P25" s="42"/>
      <c r="Q25" s="42"/>
      <c r="R25" s="42"/>
      <c r="S25" s="42"/>
      <c r="T25" s="42"/>
      <c r="U25" s="42"/>
      <c r="V25" s="16"/>
      <c r="W25" s="1"/>
      <c r="X25" s="1"/>
      <c r="Y25" s="1"/>
      <c r="Z25" s="1"/>
      <c r="AA25" s="1"/>
      <c r="AB25" s="1"/>
      <c r="AC25" s="1"/>
      <c r="AD25" s="1"/>
      <c r="AE25" s="1"/>
      <c r="AF25" s="1"/>
      <c r="AG25" s="1"/>
      <c r="AH25" s="1"/>
      <c r="AI25" s="1"/>
      <c r="AJ25" s="1"/>
      <c r="AK25" s="1"/>
      <c r="AL25" s="1"/>
      <c r="AM25" s="1"/>
      <c r="AN25" s="1"/>
      <c r="AO25" s="1"/>
      <c r="AP25" s="1"/>
      <c r="AQ25" s="1"/>
      <c r="AR25" s="1"/>
    </row>
    <row r="26" spans="1:44" ht="18.75" customHeight="1" x14ac:dyDescent="0.25">
      <c r="A26" s="16"/>
      <c r="B26" s="38"/>
      <c r="C26" s="41"/>
      <c r="D26" s="41"/>
      <c r="E26" s="41"/>
      <c r="F26" s="41"/>
      <c r="G26" s="41"/>
      <c r="H26" s="41"/>
      <c r="I26" s="41"/>
      <c r="J26" s="41"/>
      <c r="K26" s="41"/>
      <c r="L26" s="41"/>
      <c r="M26" s="41"/>
      <c r="N26" s="16"/>
      <c r="O26" s="42"/>
      <c r="P26" s="42"/>
      <c r="Q26" s="42"/>
      <c r="R26" s="42"/>
      <c r="S26" s="42"/>
      <c r="T26" s="42"/>
      <c r="U26" s="42"/>
      <c r="V26" s="16"/>
      <c r="W26" s="1"/>
      <c r="X26" s="1"/>
      <c r="Y26" s="1"/>
      <c r="Z26" s="1"/>
      <c r="AA26" s="1"/>
      <c r="AB26" s="1"/>
      <c r="AC26" s="1"/>
      <c r="AD26" s="1"/>
      <c r="AE26" s="1"/>
      <c r="AF26" s="1"/>
      <c r="AG26" s="1"/>
      <c r="AH26" s="1"/>
      <c r="AI26" s="1"/>
      <c r="AJ26" s="1"/>
      <c r="AK26" s="1"/>
      <c r="AL26" s="1"/>
      <c r="AM26" s="1"/>
      <c r="AN26" s="1"/>
      <c r="AO26" s="1"/>
      <c r="AP26" s="1"/>
      <c r="AQ26" s="1"/>
      <c r="AR26" s="1"/>
    </row>
    <row r="27" spans="1:44" ht="18.75" customHeight="1" x14ac:dyDescent="0.25">
      <c r="A27" s="16"/>
      <c r="B27" s="16"/>
      <c r="C27" s="41"/>
      <c r="D27" s="41"/>
      <c r="E27" s="41"/>
      <c r="F27" s="41"/>
      <c r="G27" s="41"/>
      <c r="H27" s="41"/>
      <c r="I27" s="41"/>
      <c r="J27" s="41"/>
      <c r="K27" s="41"/>
      <c r="L27" s="41"/>
      <c r="M27" s="41"/>
      <c r="N27" s="16"/>
      <c r="O27" s="42"/>
      <c r="P27" s="42"/>
      <c r="Q27" s="42"/>
      <c r="R27" s="42"/>
      <c r="S27" s="42"/>
      <c r="T27" s="42"/>
      <c r="U27" s="42"/>
      <c r="V27" s="16"/>
      <c r="W27" s="1"/>
      <c r="X27" s="1"/>
      <c r="Y27" s="1"/>
      <c r="Z27" s="1"/>
      <c r="AA27" s="1"/>
      <c r="AB27" s="1"/>
      <c r="AC27" s="1"/>
      <c r="AD27" s="1"/>
      <c r="AE27" s="1"/>
      <c r="AF27" s="1"/>
      <c r="AG27" s="1"/>
      <c r="AH27" s="1"/>
      <c r="AI27" s="1"/>
      <c r="AJ27" s="1"/>
      <c r="AK27" s="1"/>
      <c r="AL27" s="1"/>
      <c r="AM27" s="1"/>
      <c r="AN27" s="1"/>
      <c r="AO27" s="1"/>
      <c r="AP27" s="1"/>
      <c r="AQ27" s="1"/>
      <c r="AR27" s="1"/>
    </row>
    <row r="28" spans="1:44" ht="18.75" customHeight="1" x14ac:dyDescent="0.25">
      <c r="A28" s="16"/>
      <c r="B28" s="16"/>
      <c r="C28" s="41"/>
      <c r="D28" s="41"/>
      <c r="E28" s="41"/>
      <c r="F28" s="41"/>
      <c r="G28" s="41"/>
      <c r="H28" s="41"/>
      <c r="I28" s="41"/>
      <c r="J28" s="41"/>
      <c r="K28" s="41"/>
      <c r="L28" s="41"/>
      <c r="M28" s="41"/>
      <c r="N28" s="16"/>
      <c r="O28" s="42"/>
      <c r="P28" s="42"/>
      <c r="Q28" s="42"/>
      <c r="R28" s="42"/>
      <c r="S28" s="42"/>
      <c r="T28" s="42"/>
      <c r="U28" s="42"/>
      <c r="V28" s="16"/>
      <c r="W28" s="1"/>
      <c r="X28" s="1"/>
      <c r="Y28" s="1"/>
      <c r="Z28" s="1"/>
      <c r="AA28" s="1"/>
      <c r="AB28" s="1"/>
      <c r="AC28" s="1"/>
      <c r="AD28" s="1"/>
      <c r="AE28" s="1"/>
      <c r="AF28" s="1"/>
      <c r="AG28" s="1"/>
      <c r="AH28" s="1"/>
      <c r="AI28" s="1"/>
      <c r="AJ28" s="1"/>
      <c r="AK28" s="1"/>
      <c r="AL28" s="1"/>
      <c r="AM28" s="1"/>
      <c r="AN28" s="1"/>
      <c r="AO28" s="1"/>
      <c r="AP28" s="1"/>
      <c r="AQ28" s="1"/>
      <c r="AR28" s="1"/>
    </row>
    <row r="29" spans="1:44" ht="18.75" customHeight="1" x14ac:dyDescent="0.25">
      <c r="A29" s="16"/>
      <c r="B29" s="16"/>
      <c r="C29" s="41"/>
      <c r="D29" s="41"/>
      <c r="E29" s="41"/>
      <c r="F29" s="41"/>
      <c r="G29" s="41"/>
      <c r="H29" s="41"/>
      <c r="I29" s="41"/>
      <c r="J29" s="41"/>
      <c r="K29" s="41"/>
      <c r="L29" s="41"/>
      <c r="M29" s="41"/>
      <c r="N29" s="16"/>
      <c r="O29" s="42"/>
      <c r="P29" s="42"/>
      <c r="Q29" s="42"/>
      <c r="R29" s="42"/>
      <c r="S29" s="42"/>
      <c r="T29" s="42"/>
      <c r="U29" s="42"/>
      <c r="V29" s="16"/>
      <c r="W29" s="1"/>
      <c r="X29" s="1"/>
      <c r="Y29" s="1"/>
      <c r="Z29" s="1"/>
      <c r="AA29" s="1"/>
      <c r="AB29" s="1"/>
      <c r="AC29" s="1"/>
      <c r="AD29" s="1"/>
      <c r="AE29" s="1"/>
      <c r="AF29" s="1"/>
      <c r="AG29" s="1"/>
      <c r="AH29" s="1"/>
      <c r="AI29" s="1"/>
      <c r="AJ29" s="1"/>
      <c r="AK29" s="1"/>
      <c r="AL29" s="1"/>
      <c r="AM29" s="1"/>
      <c r="AN29" s="1"/>
      <c r="AO29" s="1"/>
      <c r="AP29" s="1"/>
      <c r="AQ29" s="1"/>
      <c r="AR29" s="1"/>
    </row>
    <row r="30" spans="1:44" ht="18.75" customHeight="1" x14ac:dyDescent="0.25">
      <c r="A30" s="16"/>
      <c r="B30" s="16"/>
      <c r="C30" s="41"/>
      <c r="D30" s="41"/>
      <c r="E30" s="41"/>
      <c r="F30" s="41"/>
      <c r="G30" s="41"/>
      <c r="H30" s="41"/>
      <c r="I30" s="41"/>
      <c r="J30" s="41"/>
      <c r="K30" s="41"/>
      <c r="L30" s="41"/>
      <c r="M30" s="41"/>
      <c r="N30" s="16"/>
      <c r="O30" s="42"/>
      <c r="P30" s="42"/>
      <c r="Q30" s="42"/>
      <c r="R30" s="42"/>
      <c r="S30" s="42"/>
      <c r="T30" s="42"/>
      <c r="U30" s="42"/>
      <c r="V30" s="16"/>
      <c r="W30" s="1"/>
      <c r="X30" s="1"/>
      <c r="Y30" s="1"/>
      <c r="Z30" s="1"/>
      <c r="AA30" s="1"/>
      <c r="AB30" s="1"/>
      <c r="AC30" s="1"/>
      <c r="AD30" s="1"/>
      <c r="AE30" s="1"/>
      <c r="AF30" s="1"/>
      <c r="AG30" s="1"/>
      <c r="AH30" s="1"/>
      <c r="AI30" s="1"/>
      <c r="AJ30" s="1"/>
      <c r="AK30" s="1"/>
      <c r="AL30" s="1"/>
      <c r="AM30" s="1"/>
      <c r="AN30" s="1"/>
      <c r="AO30" s="1"/>
      <c r="AP30" s="1"/>
      <c r="AQ30" s="1"/>
      <c r="AR30" s="1"/>
    </row>
    <row r="31" spans="1:44" x14ac:dyDescent="0.25">
      <c r="A31" s="16"/>
      <c r="B31" s="16"/>
      <c r="C31" s="16"/>
      <c r="D31" s="16"/>
      <c r="E31" s="16"/>
      <c r="F31" s="16"/>
      <c r="G31" s="16"/>
      <c r="H31" s="16"/>
      <c r="I31" s="16"/>
      <c r="J31" s="16"/>
      <c r="K31" s="16"/>
      <c r="L31" s="16"/>
      <c r="M31" s="16"/>
      <c r="N31" s="16"/>
      <c r="O31" s="16"/>
      <c r="P31" s="16"/>
      <c r="Q31" s="16"/>
      <c r="R31" s="16"/>
      <c r="S31" s="16"/>
      <c r="T31" s="16"/>
      <c r="U31" s="16"/>
      <c r="V31" s="16"/>
      <c r="W31" s="1"/>
      <c r="X31" s="1"/>
      <c r="Y31" s="1"/>
      <c r="Z31" s="1"/>
      <c r="AA31" s="1"/>
      <c r="AB31" s="1"/>
      <c r="AC31" s="1"/>
      <c r="AD31" s="1"/>
      <c r="AE31" s="1"/>
      <c r="AF31" s="1"/>
      <c r="AG31" s="1"/>
      <c r="AH31" s="1"/>
      <c r="AI31" s="1"/>
      <c r="AJ31" s="1"/>
      <c r="AK31" s="1"/>
      <c r="AL31" s="1"/>
      <c r="AM31" s="1"/>
      <c r="AN31" s="1"/>
      <c r="AO31" s="1"/>
      <c r="AP31" s="1"/>
      <c r="AQ31" s="1"/>
      <c r="AR31" s="1"/>
    </row>
    <row r="32" spans="1:44" x14ac:dyDescent="0.25">
      <c r="A32" s="16"/>
      <c r="B32" s="16"/>
      <c r="C32" s="16"/>
      <c r="D32" s="16"/>
      <c r="E32" s="16"/>
      <c r="F32" s="16"/>
      <c r="G32" s="16"/>
      <c r="H32" s="16"/>
      <c r="I32" s="16"/>
      <c r="J32" s="16"/>
      <c r="K32" s="16"/>
      <c r="L32" s="16"/>
      <c r="M32" s="16"/>
      <c r="N32" s="16"/>
      <c r="O32" s="16"/>
      <c r="P32" s="16"/>
      <c r="Q32" s="16"/>
      <c r="R32" s="16"/>
      <c r="S32" s="16"/>
      <c r="T32" s="16"/>
      <c r="U32" s="16"/>
      <c r="V32" s="16"/>
      <c r="W32" s="1"/>
      <c r="X32" s="1"/>
      <c r="Y32" s="1"/>
      <c r="Z32" s="1"/>
      <c r="AA32" s="1"/>
      <c r="AB32" s="1"/>
      <c r="AC32" s="1"/>
      <c r="AD32" s="1"/>
      <c r="AE32" s="1"/>
      <c r="AF32" s="1"/>
      <c r="AG32" s="1"/>
      <c r="AH32" s="1"/>
      <c r="AI32" s="1"/>
      <c r="AJ32" s="1"/>
      <c r="AK32" s="1"/>
      <c r="AL32" s="1"/>
      <c r="AM32" s="1"/>
      <c r="AN32" s="1"/>
      <c r="AO32" s="1"/>
      <c r="AP32" s="1"/>
      <c r="AQ32" s="1"/>
      <c r="AR32" s="1"/>
    </row>
    <row r="33" spans="1:44" x14ac:dyDescent="0.25">
      <c r="A33" s="16"/>
      <c r="B33" s="16"/>
      <c r="C33" s="16"/>
      <c r="D33" s="16"/>
      <c r="E33" s="16"/>
      <c r="F33" s="16"/>
      <c r="G33" s="16"/>
      <c r="H33" s="16"/>
      <c r="I33" s="16"/>
      <c r="J33" s="16"/>
      <c r="K33" s="16"/>
      <c r="L33" s="16"/>
      <c r="M33" s="16"/>
      <c r="N33" s="16"/>
      <c r="O33" s="16"/>
      <c r="P33" s="16"/>
      <c r="Q33" s="16"/>
      <c r="R33" s="16"/>
      <c r="S33" s="16"/>
      <c r="T33" s="16"/>
      <c r="U33" s="16"/>
      <c r="V33" s="16"/>
      <c r="W33" s="1"/>
      <c r="X33" s="1"/>
      <c r="Y33" s="1"/>
      <c r="Z33" s="1"/>
      <c r="AA33" s="1"/>
      <c r="AB33" s="1"/>
      <c r="AC33" s="1"/>
      <c r="AD33" s="1"/>
      <c r="AE33" s="1"/>
      <c r="AF33" s="1"/>
      <c r="AG33" s="1"/>
      <c r="AH33" s="1"/>
      <c r="AI33" s="1"/>
      <c r="AJ33" s="1"/>
      <c r="AK33" s="1"/>
      <c r="AL33" s="1"/>
      <c r="AM33" s="1"/>
      <c r="AN33" s="1"/>
      <c r="AO33" s="1"/>
      <c r="AP33" s="1"/>
      <c r="AQ33" s="1"/>
      <c r="AR33" s="1"/>
    </row>
    <row r="34" spans="1:44" x14ac:dyDescent="0.25">
      <c r="A34" s="16"/>
      <c r="B34" s="16"/>
      <c r="C34" s="16"/>
      <c r="D34" s="16"/>
      <c r="E34" s="16"/>
      <c r="F34" s="16"/>
      <c r="G34" s="16"/>
      <c r="H34" s="16"/>
      <c r="I34" s="16"/>
      <c r="J34" s="16"/>
      <c r="K34" s="16"/>
      <c r="L34" s="16"/>
      <c r="M34" s="16"/>
      <c r="N34" s="16"/>
      <c r="O34" s="16"/>
      <c r="P34" s="16"/>
      <c r="Q34" s="16"/>
      <c r="R34" s="16"/>
      <c r="S34" s="16"/>
      <c r="T34" s="16"/>
      <c r="U34" s="16"/>
      <c r="V34" s="16"/>
      <c r="W34" s="1"/>
      <c r="X34" s="1"/>
      <c r="Y34" s="1"/>
      <c r="Z34" s="1"/>
      <c r="AA34" s="1"/>
      <c r="AB34" s="1"/>
      <c r="AC34" s="1"/>
      <c r="AD34" s="1"/>
      <c r="AE34" s="1"/>
      <c r="AF34" s="1"/>
      <c r="AG34" s="1"/>
      <c r="AH34" s="1"/>
      <c r="AI34" s="1"/>
      <c r="AJ34" s="1"/>
      <c r="AK34" s="1"/>
      <c r="AL34" s="1"/>
      <c r="AM34" s="1"/>
      <c r="AN34" s="1"/>
      <c r="AO34" s="1"/>
      <c r="AP34" s="1"/>
      <c r="AQ34" s="1"/>
      <c r="AR34" s="1"/>
    </row>
    <row r="35" spans="1:44" x14ac:dyDescent="0.25">
      <c r="A35" s="16"/>
      <c r="B35" s="16"/>
      <c r="C35" s="16"/>
      <c r="D35" s="16"/>
      <c r="E35" s="16"/>
      <c r="F35" s="16"/>
      <c r="G35" s="16"/>
      <c r="H35" s="16"/>
      <c r="I35" s="16"/>
      <c r="J35" s="16"/>
      <c r="K35" s="16"/>
      <c r="L35" s="16"/>
      <c r="M35" s="16"/>
      <c r="N35" s="16"/>
      <c r="O35" s="16"/>
      <c r="P35" s="16"/>
      <c r="Q35" s="16"/>
      <c r="R35" s="16"/>
      <c r="S35" s="16"/>
      <c r="T35" s="16"/>
      <c r="U35" s="16"/>
      <c r="V35" s="16"/>
      <c r="W35" s="1"/>
      <c r="X35" s="1"/>
      <c r="Y35" s="1"/>
      <c r="Z35" s="1"/>
      <c r="AA35" s="1"/>
      <c r="AB35" s="1"/>
      <c r="AC35" s="1"/>
      <c r="AD35" s="1"/>
      <c r="AE35" s="1"/>
      <c r="AF35" s="1"/>
      <c r="AG35" s="1"/>
      <c r="AH35" s="1"/>
      <c r="AI35" s="1"/>
      <c r="AJ35" s="1"/>
      <c r="AK35" s="1"/>
      <c r="AL35" s="1"/>
      <c r="AM35" s="1"/>
      <c r="AN35" s="1"/>
      <c r="AO35" s="1"/>
      <c r="AP35" s="1"/>
      <c r="AQ35" s="1"/>
      <c r="AR35" s="1"/>
    </row>
    <row r="36" spans="1:44" x14ac:dyDescent="0.25">
      <c r="A36" s="16"/>
      <c r="B36" s="16"/>
      <c r="C36" s="16"/>
      <c r="D36" s="16"/>
      <c r="E36" s="16"/>
      <c r="F36" s="16"/>
      <c r="G36" s="16"/>
      <c r="H36" s="16"/>
      <c r="I36" s="16"/>
      <c r="J36" s="16"/>
      <c r="K36" s="16"/>
      <c r="L36" s="16"/>
      <c r="M36" s="16"/>
      <c r="N36" s="16"/>
      <c r="O36" s="16"/>
      <c r="P36" s="16"/>
      <c r="Q36" s="16"/>
      <c r="R36" s="16"/>
      <c r="S36" s="16"/>
      <c r="T36" s="16"/>
      <c r="U36" s="16"/>
      <c r="V36" s="16"/>
      <c r="W36" s="1"/>
      <c r="X36" s="1"/>
      <c r="Y36" s="1"/>
      <c r="Z36" s="1"/>
      <c r="AA36" s="1"/>
      <c r="AB36" s="1"/>
      <c r="AC36" s="1"/>
      <c r="AD36" s="1"/>
      <c r="AE36" s="1"/>
      <c r="AF36" s="1"/>
      <c r="AG36" s="1"/>
      <c r="AH36" s="1"/>
      <c r="AI36" s="1"/>
      <c r="AJ36" s="1"/>
      <c r="AK36" s="1"/>
      <c r="AL36" s="1"/>
      <c r="AM36" s="1"/>
      <c r="AN36" s="1"/>
      <c r="AO36" s="1"/>
      <c r="AP36" s="1"/>
      <c r="AQ36" s="1"/>
      <c r="AR36" s="1"/>
    </row>
    <row r="37" spans="1:44" x14ac:dyDescent="0.25">
      <c r="A37" s="16"/>
      <c r="B37" s="16"/>
      <c r="C37" s="16"/>
      <c r="D37" s="16"/>
      <c r="E37" s="16"/>
      <c r="F37" s="16"/>
      <c r="G37" s="16"/>
      <c r="H37" s="16"/>
      <c r="I37" s="16"/>
      <c r="J37" s="16"/>
      <c r="K37" s="16"/>
      <c r="L37" s="16"/>
      <c r="M37" s="16"/>
      <c r="N37" s="16"/>
      <c r="O37" s="16"/>
      <c r="P37" s="16"/>
      <c r="Q37" s="16"/>
      <c r="R37" s="16"/>
      <c r="S37" s="16"/>
      <c r="T37" s="16"/>
      <c r="U37" s="16"/>
      <c r="V37" s="16"/>
      <c r="W37" s="1"/>
      <c r="X37" s="1"/>
      <c r="Y37" s="1"/>
      <c r="Z37" s="1"/>
      <c r="AA37" s="1"/>
      <c r="AB37" s="1"/>
      <c r="AC37" s="1"/>
      <c r="AD37" s="1"/>
      <c r="AE37" s="1"/>
      <c r="AF37" s="1"/>
      <c r="AG37" s="1"/>
      <c r="AH37" s="1"/>
      <c r="AI37" s="1"/>
      <c r="AJ37" s="1"/>
      <c r="AK37" s="1"/>
      <c r="AL37" s="1"/>
      <c r="AM37" s="1"/>
      <c r="AN37" s="1"/>
      <c r="AO37" s="1"/>
      <c r="AP37" s="1"/>
      <c r="AQ37" s="1"/>
      <c r="AR37" s="1"/>
    </row>
    <row r="38" spans="1:4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row>
    <row r="39" spans="1:4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row>
    <row r="40" spans="1:4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row>
    <row r="41" spans="1:4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row>
    <row r="42" spans="1:4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row>
    <row r="43" spans="1:4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row>
    <row r="44" spans="1:4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row>
    <row r="45" spans="1:4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row>
    <row r="46" spans="1:4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row>
    <row r="47" spans="1:4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row>
    <row r="48" spans="1:4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row>
    <row r="49" spans="1:4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row>
    <row r="50" spans="1:4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row>
    <row r="51" spans="1:4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row>
    <row r="52" spans="1:4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row>
    <row r="53" spans="1:4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row>
    <row r="54" spans="1:44"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row>
    <row r="55" spans="1:44"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row>
    <row r="56" spans="1:44"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row>
    <row r="57" spans="1:44"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row>
    <row r="58" spans="1:44"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row>
    <row r="59" spans="1:44"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row>
    <row r="60" spans="1:44"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row>
    <row r="61" spans="1:44"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row>
  </sheetData>
  <sheetProtection algorithmName="SHA-512" hashValue="iuMewCSB0gNkq+TkMLedhl7SK5Wqm5tGReEWNB4qET8i01F9jCr+RI1xLcKYcy2VQnsDC5AbYKLjvmFiE1wCjg==" saltValue="BrloRtoxW+kc8n66uUWy6Q==" spinCount="100000" sheet="1" objects="1" scenarios="1"/>
  <mergeCells count="12">
    <mergeCell ref="B11:B12"/>
    <mergeCell ref="B18:B19"/>
    <mergeCell ref="B25:B26"/>
    <mergeCell ref="U5:U6"/>
    <mergeCell ref="H9:M9"/>
    <mergeCell ref="O11:U16"/>
    <mergeCell ref="O18:U23"/>
    <mergeCell ref="O25:U30"/>
    <mergeCell ref="C5:S7"/>
    <mergeCell ref="C11:M16"/>
    <mergeCell ref="C18:M23"/>
    <mergeCell ref="C25:M30"/>
  </mergeCells>
  <conditionalFormatting sqref="C5:S7">
    <cfRule type="containsBlanks" dxfId="4" priority="4">
      <formula>LEN(TRIM(C5))=0</formula>
    </cfRule>
  </conditionalFormatting>
  <conditionalFormatting sqref="C25:M30 C18:M23 C11:M16 O11 O18 O25">
    <cfRule type="notContainsBlanks" dxfId="3" priority="8">
      <formula>LEN(TRIM(C11))&gt;0</formula>
    </cfRule>
  </conditionalFormatting>
  <conditionalFormatting sqref="B25 B18 B11">
    <cfRule type="notContainsBlanks" dxfId="2" priority="5">
      <formula>LEN(TRIM(B11))&gt;0</formula>
    </cfRule>
  </conditionalFormatting>
  <conditionalFormatting sqref="H9:M9">
    <cfRule type="notContainsBlanks" dxfId="1" priority="9">
      <formula>LEN(TRIM(H9))&gt;0</formula>
    </cfRule>
  </conditionalFormatting>
  <dataValidations count="1">
    <dataValidation type="list" allowBlank="1" showInputMessage="1" showErrorMessage="1" sqref="U7" xr:uid="{976A0FE6-A2B1-4496-B872-CF158C45ED95}">
      <formula1>"S,N"</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_xludf.Paste">
                <anchor moveWithCells="1" sizeWithCells="1">
                  <from>
                    <xdr:col>1</xdr:col>
                    <xdr:colOff>28575</xdr:colOff>
                    <xdr:row>4</xdr:row>
                    <xdr:rowOff>9525</xdr:rowOff>
                  </from>
                  <to>
                    <xdr:col>1</xdr:col>
                    <xdr:colOff>523875</xdr:colOff>
                    <xdr:row>5</xdr:row>
                    <xdr:rowOff>57150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3075E-7CD2-44EB-B0B6-BE83899220DC}">
  <sheetPr codeName="Planilha2"/>
  <dimension ref="A1:XAC1048574"/>
  <sheetViews>
    <sheetView showGridLines="0" zoomScale="70" zoomScaleNormal="70" workbookViewId="0">
      <selection activeCell="D19" sqref="D19"/>
    </sheetView>
  </sheetViews>
  <sheetFormatPr defaultRowHeight="15" x14ac:dyDescent="0.25"/>
  <cols>
    <col min="2" max="2" width="3.5703125" customWidth="1"/>
    <col min="3" max="3" width="1.5703125" customWidth="1"/>
    <col min="4" max="4" width="48" customWidth="1"/>
    <col min="5" max="5" width="45.42578125" customWidth="1"/>
    <col min="6" max="6" width="14.42578125" customWidth="1"/>
    <col min="8" max="16240" width="0.5703125" hidden="1" customWidth="1"/>
    <col min="16241" max="16241" width="0" hidden="1" customWidth="1"/>
    <col min="16242" max="16242" width="11.5703125" hidden="1" customWidth="1"/>
    <col min="16243" max="16243" width="2.140625" hidden="1" customWidth="1"/>
    <col min="16244" max="16244" width="28.28515625" hidden="1" customWidth="1"/>
    <col min="16245" max="16245" width="14.5703125" hidden="1" customWidth="1"/>
    <col min="16246" max="16246" width="2.140625" hidden="1" customWidth="1"/>
    <col min="16247" max="16247" width="24.5703125" hidden="1" customWidth="1"/>
    <col min="16248" max="16248" width="9" hidden="1" customWidth="1"/>
    <col min="16249" max="16249" width="9.140625" hidden="1" customWidth="1"/>
    <col min="16250" max="16250" width="23.5703125" hidden="1" customWidth="1"/>
    <col min="16251" max="16251" width="6.5703125" hidden="1" customWidth="1"/>
    <col min="16252" max="16252" width="9.140625" hidden="1" customWidth="1"/>
    <col min="16253" max="16253" width="222.140625" hidden="1" customWidth="1"/>
    <col min="16254" max="16384" width="0" hidden="1" customWidth="1"/>
  </cols>
  <sheetData>
    <row r="1" spans="3:6 16242:16253" ht="22.5" customHeight="1" thickBot="1" x14ac:dyDescent="0.3">
      <c r="C1" s="18" t="s">
        <v>11</v>
      </c>
      <c r="D1" s="5" t="s">
        <v>0</v>
      </c>
      <c r="E1" s="5" t="s">
        <v>2</v>
      </c>
      <c r="F1" s="5" t="s">
        <v>1</v>
      </c>
      <c r="XAA1" t="s">
        <v>14</v>
      </c>
      <c r="XAB1" t="s">
        <v>11</v>
      </c>
      <c r="XAC1" s="11" t="s">
        <v>5</v>
      </c>
    </row>
    <row r="2" spans="3:6 16242:16253" ht="15.75" thickBot="1" x14ac:dyDescent="0.3">
      <c r="C2" s="17">
        <f>XAB2</f>
        <v>1</v>
      </c>
      <c r="D2" s="37" t="s">
        <v>32</v>
      </c>
      <c r="E2" s="37" t="s">
        <v>33</v>
      </c>
      <c r="F2" s="8" t="s">
        <v>27</v>
      </c>
      <c r="XAA2">
        <f t="shared" ref="XAA2:XAA63" si="0">IF(ISNUMBER(SEARCH($WZS$4,XAC2)),1,"")</f>
        <v>1</v>
      </c>
      <c r="XAB2">
        <f>IF(ISNUMBER(XAA2),_xlfn.RANK.EQ(XAA2,$XAA$2:$XAA$254,0)+COUNTIF($XAA$2:XAA2,XAA2)-1,"")</f>
        <v>1</v>
      </c>
      <c r="XAC2" s="11" t="str">
        <f t="shared" ref="XAC2:XAC63" si="1">IF($I$4="S",SUBSTITUTE(D2," ",""),SUBSTITUTE(SUBSTITUTE(SUBSTITUTE(SUBSTITUTE(SUBSTITUTE(SUBSTITUTE(SUBSTITUTE(SUBSTITUTE(SUBSTITUTE(SUBSTITUTE(SUBSTITUTE(SUBSTITUTE(SUBSTITUTE(SUBSTITUTE(SUBSTITUTE(SUBSTITUTE(SUBSTITUTE(SUBSTITUTE(SUBSTITUTE(SUBSTITUTE(SUBSTITUTE(SUBSTITUTE(SUBSTITUTE(SUBSTITUTE(SUBSTITUTE(SUBSTITUTE(SUBSTITUTE(LOWER(D2)," ",""),"ã","a"),"á","a"),"à","a"),"â","a"),"é","e"),"ê","e"),"í","i"),"ó","o"),"õ","o"),"ô","o"),"ú","u"),"ü","u"),"ç","c"),"“",""),"”",""),",",""),";",""),"(",""),")",""),"+",""),"-",""),".",""),"–",""),"‘",""),"’",""),"+","+"))</f>
        <v>leiaotrechoaseguir:umabrevehistoriadaevolucaodascomunicacoesmoveisnomundoeutilparaapreciarmosoenormeimpactoqueoradiocelulareosservicosdecomunicacaoteraosobretodosnosnodecorrerdasproximasdecadasissotambemeutilparauminiciantenosetorderadiocelularentenderograndeimpactoqueasagenciasreguladorasdogovernoeosconcorrentesnaprestacaodestesservicosexercemnaevolucaodenovossistemasservicosetecnologiassemfiofonte:rappaporttheodorescomunicacoessemfio:principiosepraticas2ªedicaosaopaulopearsonprenticehall2009pagina1 otrechoacimafaladaevolucaodascomunicacoesmoveisnomundoatravesdasinformacoesabordadasnotextoebaseandosenoconteudoestudadoepossivelafirmarqueaevolucaodacomunicacaosemfioocorredentrevariosaspectosporcontado:</v>
      </c>
    </row>
    <row r="3" spans="3:6 16242:16253" ht="15.75" x14ac:dyDescent="0.25">
      <c r="C3" s="17">
        <f t="shared" ref="C3:C64" si="2">XAB3</f>
        <v>2</v>
      </c>
      <c r="D3" s="37" t="s">
        <v>34</v>
      </c>
      <c r="E3" s="37" t="s">
        <v>35</v>
      </c>
      <c r="F3" s="9" t="s">
        <v>27</v>
      </c>
      <c r="WZR3" s="13" t="s">
        <v>10</v>
      </c>
      <c r="WZS3" s="52" t="str">
        <f>IF(OR(ISBLANK(P00!C5),LEN(P00!C5)&lt;3),"",P00!C5)</f>
        <v/>
      </c>
      <c r="WZT3" s="52"/>
      <c r="WZU3" s="53"/>
      <c r="WZV3" s="2" t="s">
        <v>15</v>
      </c>
      <c r="WZW3" s="12" t="s">
        <v>6</v>
      </c>
      <c r="XAA3">
        <f t="shared" si="0"/>
        <v>1</v>
      </c>
      <c r="XAB3">
        <f>IF(ISNUMBER(XAA3),_xlfn.RANK.EQ(XAA3,$XAA$2:$XAA$254,0)+COUNTIF($XAA$2:XAA3,XAA3)-1,"")</f>
        <v>2</v>
      </c>
      <c r="XAC3" s="11" t="str">
        <f t="shared" si="1"/>
        <v>leiaotrechoaseguir: oprimeiropassoeentenderomodelodenegocio:comoplanejaremonetizaroservicoquesequerprestopeloaplicativoosegundopassoefazerumprototipodoappdesenhandonopapeltelinhaportelinhaeoterceiropasso:mostraroprototipoparapessoasqueusariamoservicofonte:globocomvejadicasdecomocriarumaplicativoparasmartphonedisponivelem:https://g1globocom/google/amp/economia/pme/pequenasempresasgrandesnegocios/noticia/2019/05/19/vejadicasdecomocriarumaplicativoparasmartphoneghtmlacessoem:23set2019otrechoacimatratadasetapasaseremrealizadasparaodesenvolvimentodeaplicativosconsiderandoessasinformacoeseoconteudoestudadoanaliseasguiasdisponiveiseaprotipacaodoaplicativoassociandooscomassuasrespectivascaracteristicas: 1ioshumaninterfaceguidelines2androidstyleguide3windowsphonedesignguidelines4mockflow   bastantefocadonoseulayoutsecomparadocomoguiadaapplemesmocomoniveldecompatibilidadeequivalente baseiaseemprincipiosbasicosrelacionadosaosdetalhesrapidezsimplificacao disponibilizaumavariedadededicasdecomoadequarasaplicacoesparaseremaprovadasnaappstore produtocriadopelaadobeaireconsideradacomoumdosinstrumentosaplicadospara oprocessodeprototipacaodirecionadosparadispositivosmoveis agoraassinaleaalternativaqueapresentaasequenciacorreta:</v>
      </c>
    </row>
    <row r="4" spans="3:6 16242:16253" ht="15.75" thickBot="1" x14ac:dyDescent="0.3">
      <c r="C4" s="17">
        <f t="shared" si="2"/>
        <v>3</v>
      </c>
      <c r="D4" s="37" t="s">
        <v>36</v>
      </c>
      <c r="E4" s="37" t="s">
        <v>37</v>
      </c>
      <c r="F4" s="9" t="s">
        <v>27</v>
      </c>
      <c r="WZR4" s="14" t="s">
        <v>9</v>
      </c>
      <c r="WZS4" s="54" t="str">
        <f>IF(WZW7="S",IF(WZW4="S",SUBSTITUTE(WZS3,"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IF(WZW4="S",SUBSTITUTE(WZS3," ","*"),SUBSTITUTE(SUBSTITUTE(SUBSTITUTE(SUBSTITUTE(SUBSTITUTE(SUBSTITUTE(SUBSTITUTE(SUBSTITUTE(SUBSTITUTE(SUBSTITUTE(SUBSTITUTE(SUBSTITUTE(SUBSTITUTE(SUBSTITUTE(SUBSTITUTE(SUBSTITUTE(SUBSTITUTE(SUBSTITUTE(SUBSTITUTE(SUBSTITUTE(SUBSTITUTE(SUBSTITUTE(SUBSTITUTE(SUBSTITUTE(SUBSTITUTE(SUBSTITUTE(SUBSTITUTE(LOWER(WZS3)," ","*"),"ã","a"),"á","a"),"à","a"),"â","a"),"é","e"),"ê","e"),"í","i"),"ó","o"),"õ","o"),"ô","o"),"ú","u"),"ü","u"),"ç","c"),"“",""),"”",""),",",""),";",""),"(",""),")",""),"+",""),"-",""),".",""),"–",""),"‘",""),"’",""),"+","+")))</f>
        <v/>
      </c>
      <c r="WZT4" s="54"/>
      <c r="WZU4" s="55"/>
      <c r="WZV4" s="2" t="s">
        <v>15</v>
      </c>
      <c r="WZW4" s="15" t="s">
        <v>8</v>
      </c>
      <c r="XAA4">
        <f t="shared" si="0"/>
        <v>1</v>
      </c>
      <c r="XAB4">
        <f>IF(ISNUMBER(XAA4),_xlfn.RANK.EQ(XAA4,$XAA$2:$XAA$254,0)+COUNTIF($XAA$2:XAA4,XAA4)-1,"")</f>
        <v>3</v>
      </c>
      <c r="XAC4" s="11" t="str">
        <f t="shared" si="1"/>
        <v>leiaotrechoaseguir:muitasempresastemfeitodosaplicativososeuprincipalnegocioemeiodecomunicacaocomoclientemasquaissaoashabilidadesnecessariasparasedesenvolverumaplicativoandroiddozero?haalgumaslinguagensdeprogramacaoquesaomaisindicadasdoqueoutrasparaatarefaaomesmotempovalelembrarqueeprecisoumroteirobemestruturadoparanaocometeroserrosmaiscomunsaodesenvolvelofonte:computerworldas6melhoreslinguagensdeprogramacaoparadesenvolverumappandroid disponivelem:https://computerworldcombr/2019/09/08/as6melhoreslinguagensdeprogramacaoparadesenvolverumappandroid/acessoem:23set2019otrechoacimaapresentaaimportanciadaslinguagensdeprogramacaoparaosistemaandroid apartirdessasinformacoesedoconteudoestudadoaprincipallinguagemdeprogramacaoempregadaparaodesenvolvimentodeaplicacoesdirecionadasaplataformaandroide:</v>
      </c>
    </row>
    <row r="5" spans="3:6 16242:16253" ht="15.75" thickBot="1" x14ac:dyDescent="0.3">
      <c r="C5" s="17">
        <f t="shared" si="2"/>
        <v>4</v>
      </c>
      <c r="D5" s="37" t="s">
        <v>38</v>
      </c>
      <c r="E5" s="37" t="s">
        <v>39</v>
      </c>
      <c r="F5" s="9" t="s">
        <v>27</v>
      </c>
      <c r="WZR5" s="2"/>
      <c r="WZS5" s="2"/>
      <c r="WZT5" s="2"/>
      <c r="WZU5" s="2"/>
      <c r="WZV5" s="2"/>
      <c r="WZW5" s="2"/>
      <c r="XAA5">
        <f t="shared" si="0"/>
        <v>1</v>
      </c>
      <c r="XAB5">
        <f>IF(ISNUMBER(XAA5),_xlfn.RANK.EQ(XAA5,$XAA$2:$XAA$254,0)+COUNTIF($XAA$2:XAA5,XAA5)-1,"")</f>
        <v>4</v>
      </c>
      <c r="XAC5" s="11" t="str">
        <f t="shared" si="1"/>
        <v>leiaotrechoaseguir:sevocerecebebeneficiodaprevidenciasocialjadevesaberquetodoanoprecisaprovarqueestavivoseissonaoforfeitoopagamentopodesersuspensoanovidadeequeaindaesteanoaprovadevidapodeserfeitapelotelefonecelularseobeneficiariotiverumaparelhomaismodernobastaabriroaplicativomeuinsseusaraimpressaodigitalouoreconhecimentofacialdamesmaformaqueusaparadesbloquearateladocelularosistemadereconhecimentobiometricodoinssfoidesenvolvidopeladataprevfonte:calebejosueprovadevidadoinsspoderaserfeitapelocelular disponivelem:https://wwwradioculturafozcombr/2019/09/23/provadevidadoinsspoderaserfeitapelocelularacessoem:23set2019otrechoacimatratadaspossibilidadesqueosaplicativosinstaladosnosdispositivosmoveisproporcionamparaauxiliarocotidianodaspessoasapartirdessasinformacoesedoconteudoestudadoepossivelafirmarqueossistemasderadiocelularecomunicacoesportatilemovel:</v>
      </c>
    </row>
    <row r="6" spans="3:6 16242:16253" ht="16.5" thickBot="1" x14ac:dyDescent="0.3">
      <c r="C6" s="17">
        <f t="shared" si="2"/>
        <v>5</v>
      </c>
      <c r="D6" s="37" t="s">
        <v>40</v>
      </c>
      <c r="E6" s="37" t="s">
        <v>41</v>
      </c>
      <c r="F6" s="9" t="s">
        <v>27</v>
      </c>
      <c r="WZR6" s="21" t="s">
        <v>16</v>
      </c>
      <c r="WZS6" s="22" t="s">
        <v>11</v>
      </c>
      <c r="WZT6" s="22" t="s">
        <v>12</v>
      </c>
      <c r="WZU6" s="22" t="s">
        <v>13</v>
      </c>
      <c r="WZV6" s="2"/>
      <c r="WZW6" s="12" t="s">
        <v>7</v>
      </c>
      <c r="XAA6">
        <f t="shared" si="0"/>
        <v>1</v>
      </c>
      <c r="XAB6">
        <f>IF(ISNUMBER(XAA6),_xlfn.RANK.EQ(XAA6,$XAA$2:$XAA$254,0)+COUNTIF($XAA$2:XAA6,XAA6)-1,"")</f>
        <v>5</v>
      </c>
      <c r="XAC6" s="11" t="str">
        <f t="shared" si="1"/>
        <v>leiaotrechoaseguir:voltadoparapequenosnegociosaferramentazeropapergeragraficoserelatoriosindicandooqueestaconsumindomaisrecursososdadosficamdisponiveisemdispositivosmoveisenaplataformawebodropboxporexemplopermitesalvararquivosquepodemservisualizadosemqualquerlugar fonte:oglobodezaplicativosessenciaisparamicroepequenosempresariosdisponivelem:https://ogloboglobocom/economia/pequenosemediosnegocios/dezaplicativosessenciaisparamicropequenosempresarios13989296acessoem:23set2019otrechoacimatratadeumdosmaisimportantesaplicativosdisponiveisnasmicroepequenasempresasassimconsiderandoasinformacoesapresentadaseosconteudosestudadospodemosafirmarqueosaplicativosparadispositivosmoveis:</v>
      </c>
    </row>
    <row r="7" spans="3:6 16242:16253" ht="15.75" thickBot="1" x14ac:dyDescent="0.3">
      <c r="C7" s="17">
        <f t="shared" si="2"/>
        <v>6</v>
      </c>
      <c r="D7" s="37" t="s">
        <v>42</v>
      </c>
      <c r="E7" s="37" t="s">
        <v>43</v>
      </c>
      <c r="F7" s="9" t="s">
        <v>27</v>
      </c>
      <c r="WZR7" s="19" t="str">
        <f>IF(WZS7="","",IFERROR(VLOOKUP(WZS7,C:F,4,FALSE),""))</f>
        <v/>
      </c>
      <c r="WZS7" s="23" t="str">
        <f>IF(WZS4="","",1)</f>
        <v/>
      </c>
      <c r="WZT7" s="23" t="str">
        <f>IF(WZS7="","",IFERROR(VLOOKUP(WZS7,C:F,2,FALSE),""))</f>
        <v/>
      </c>
      <c r="WZU7" s="23" t="str">
        <f>IF(WZS7="","",IFERROR(VLOOKUP(WZS7,C:F,3,FALSE),""))</f>
        <v/>
      </c>
      <c r="WZV7" s="2" t="s">
        <v>15</v>
      </c>
      <c r="WZW7" s="15" t="str">
        <f>P00!U7</f>
        <v>S</v>
      </c>
      <c r="XAA7">
        <f t="shared" si="0"/>
        <v>1</v>
      </c>
      <c r="XAB7">
        <f>IF(ISNUMBER(XAA7),_xlfn.RANK.EQ(XAA7,$XAA$2:$XAA$254,0)+COUNTIF($XAA$2:XAA7,XAA7)-1,"")</f>
        <v>6</v>
      </c>
      <c r="XAC7" s="11" t="str">
        <f t="shared" si="1"/>
        <v>leiaotrechoaseguir: atecnologiaeumaaliadadaspmesaointegrarsolucoesmoveisopequenoempresariocapacitaseuscolaboradoresaentregarosmelhoresresultadosseumfuncionarioatuaodiainteiroforadasedeporexemplonacaptacaodeclientesemreunioescomfornecedoresounaequipedevendaseleprecisaterseusequipamentosintegradosaosistemaoperacionaldaempresaparacumprirsuastarefascomexcelenciaerapidezfonte:globocomconvergenciaentredispositivosmoveis:porqueadotarnapequenaempresa?disponivelem:https://g1globocom/economia/pme/pequenasempresasgrandesnegocios/especialpublicitario/dell/noticia/convergenciaentredispositivosmoveisporqueadotarnapequenaempresaghtmlacessoem:23set2019otrechoacimatratadaimportacaodosdispositivosmoveisnasolucaodeproblemasligadosaspequenasempresasassimconsiderandoosconteudosanaliseasafirmativasaseguirsobreassolucoesmaisimportantesparaodesenvolvimentodeaplicacoesdedispositivosportateisemoveis: ioadobeairedefinidocomoumaplataformaparaodesenvolvimentoeexecucaodeaplicativosconstruidosemhtmlporexemploindependentedoambientecomputacional  iioblackberryeumaplicativofocadonomercadopublicoondeasuaconstrucaopodeserrealizadaemlinguagemjavaiiisymbianconsisteemumsistemaoperacionalprivadonokiadesenvolvidoparasmartphones  ivwindowsphoneeumsistemaoperacionalcriadopelagoogleepossibilitaodesenvolvimentodeaplicacoescomlinguagenspythonestacorretoapenasoqueseafirmaem:</v>
      </c>
    </row>
    <row r="8" spans="3:6 16242:16253" x14ac:dyDescent="0.25">
      <c r="C8" s="17">
        <f t="shared" si="2"/>
        <v>7</v>
      </c>
      <c r="D8" s="37" t="s">
        <v>44</v>
      </c>
      <c r="E8" s="37" t="s">
        <v>45</v>
      </c>
      <c r="F8" s="9" t="s">
        <v>27</v>
      </c>
      <c r="WZR8" s="19" t="str">
        <f>IF(WZS8="","",IFERROR(VLOOKUP(WZS8,C:F,4,FALSE),""))</f>
        <v/>
      </c>
      <c r="WZS8" s="23" t="str">
        <f>IF(WZS4="","",2)</f>
        <v/>
      </c>
      <c r="WZT8" s="23" t="str">
        <f>IF(WZS8="","",IFERROR(VLOOKUP(WZS8,C:F,2,FALSE),""))</f>
        <v/>
      </c>
      <c r="WZU8" s="23" t="str">
        <f>IF(WZS8="","",IFERROR(VLOOKUP(WZS8,C:F,3,FALSE),""))</f>
        <v/>
      </c>
      <c r="WZV8" s="2" t="s">
        <v>15</v>
      </c>
      <c r="WZW8" s="2"/>
      <c r="XAA8">
        <f t="shared" si="0"/>
        <v>1</v>
      </c>
      <c r="XAB8">
        <f>IF(ISNUMBER(XAA8),_xlfn.RANK.EQ(XAA8,$XAA$2:$XAA$254,0)+COUNTIF($XAA$2:XAA8,XAA8)-1,"")</f>
        <v>7</v>
      </c>
      <c r="XAC8" s="11" t="str">
        <f t="shared" si="1"/>
        <v>leiaotrechoaseguir: —avantagemeaflexibilidadedeacessodequalquerlugarinclusivepordispositivosmoveis—dizdavidsonboccardodiretordosgreenhatlabspertencentesaclavissegurancadainformacao—adesvantagemenaotercertezadecomoessesdadosestaosendoprotegidosnaosaberquetipodenormasegestaosaoempregadaspelaempresafonte:machadoandreguardadosnanuvemarquivosnaoseperdem disponivelem:https://ogloboglobocom/economia/tecnologia/guardadosnanuvemarquivosnaoseperdem23232732acessoem:23set2019otrechoacimatrazasvantagensedesvantagensdoacessodedadosinclusivepormeiodosdispositivosmoveiscombasenessasinformacoesenoconteudoestudadopodeseafirmarqueoarquivamentopermanentededadosestarelacionadoa:</v>
      </c>
    </row>
    <row r="9" spans="3:6 16242:16253" ht="15.75" thickBot="1" x14ac:dyDescent="0.3">
      <c r="C9" s="17">
        <f t="shared" si="2"/>
        <v>8</v>
      </c>
      <c r="D9" s="37" t="s">
        <v>46</v>
      </c>
      <c r="E9" s="37" t="s">
        <v>47</v>
      </c>
      <c r="F9" s="9" t="s">
        <v>27</v>
      </c>
      <c r="WZR9" s="20" t="str">
        <f>IF(WZS9="","",IFERROR(VLOOKUP(WZS9,C:F,4,FALSE),""))</f>
        <v/>
      </c>
      <c r="WZS9" s="24" t="str">
        <f>IF(WZS4="","",3)</f>
        <v/>
      </c>
      <c r="WZT9" s="24" t="str">
        <f>IF(WZS9="","",IFERROR(VLOOKUP(WZS9,C:F,2,FALSE),""))</f>
        <v/>
      </c>
      <c r="WZU9" s="24" t="str">
        <f>IF(WZS9="","",IFERROR(VLOOKUP(WZS9,C:F,3,FALSE),""))</f>
        <v/>
      </c>
      <c r="WZV9" s="2" t="s">
        <v>15</v>
      </c>
      <c r="WZW9" s="2"/>
      <c r="XAA9">
        <f t="shared" si="0"/>
        <v>1</v>
      </c>
      <c r="XAB9">
        <f>IF(ISNUMBER(XAA9),_xlfn.RANK.EQ(XAA9,$XAA$2:$XAA$254,0)+COUNTIF($XAA$2:XAA9,XAA9)-1,"")</f>
        <v>8</v>
      </c>
      <c r="XAC9" s="11" t="str">
        <f t="shared" si="1"/>
        <v>leiaotrechoaseguir:semmuitoalardeumanovatransformacaocomecouaacontecernesteanocomolancamentodesmartphonescomtelasquepodemserdobradasaomeioecomoseapessoativessedoiscelularescolocadosumsobreooutroquandoabertosnahorizontalelesformamumaunicatelagrandequetemquaseotamanhodeumtabletfechadoselespodemserusadoscomumamaosoecabemnobolsocomoumcelularqualquerfonte:agrelalucastelamaioredobraveleaapostadomomentonossmartphonesdisponivelemhttps://exameabrilcombr/revistaexame/telamaioredobravel/acessoem:23set2019otrechoacimatratadasevolucoesfisicasdossmartphonesaolongodosanoseassuascaracteristicasatuaisconsiderandoessasinformacoeseoconteudoestudadopodemosafirmarqueosdispositivosmoveisdisponibilizamumaseriedecaracteristicasfisicasrelacionadasdentreoutrosaspectosao:</v>
      </c>
    </row>
    <row r="10" spans="3:6 16242:16253" x14ac:dyDescent="0.25">
      <c r="C10" s="17">
        <f t="shared" si="2"/>
        <v>9</v>
      </c>
      <c r="D10" s="37" t="s">
        <v>48</v>
      </c>
      <c r="E10" s="37" t="s">
        <v>49</v>
      </c>
      <c r="F10" s="9" t="s">
        <v>27</v>
      </c>
      <c r="XAA10">
        <f t="shared" si="0"/>
        <v>1</v>
      </c>
      <c r="XAB10">
        <f>IF(ISNUMBER(XAA10),_xlfn.RANK.EQ(XAA10,$XAA$2:$XAA$254,0)+COUNTIF($XAA$2:XAA10,XAA10)-1,"")</f>
        <v>9</v>
      </c>
      <c r="XAC10" s="11" t="str">
        <f t="shared" si="1"/>
        <v>leiaotrechoaseguir:oandroideumsistemaoperacionalprojetadoparadispositivosmoveisbaseadononucleolinuxessesistemaoperacionalfoiinicialmentedesenvolvidopelaempresaandroidincmasem2005aempresagoogleocomprouem2008foilancadooprimeirodispositivocomercialcomandroidfonte:schefferhudsoncadandesenvolvimentoparadispositivosmoveiseditoraedistribuidorasa2018londrinaparanapagina10otrechocitaohistoricodosistemaandroidconsiderandoasinformacoesapresentadaseosconteudosestudadosepossivelafirmarqueoandroide:</v>
      </c>
    </row>
    <row r="11" spans="3:6 16242:16253" ht="15.75" thickBot="1" x14ac:dyDescent="0.3">
      <c r="C11" s="17">
        <f t="shared" si="2"/>
        <v>10</v>
      </c>
      <c r="D11" s="37" t="s">
        <v>50</v>
      </c>
      <c r="E11" s="37" t="s">
        <v>51</v>
      </c>
      <c r="F11" s="9" t="s">
        <v>27</v>
      </c>
      <c r="XAA11">
        <f t="shared" si="0"/>
        <v>1</v>
      </c>
      <c r="XAB11">
        <f>IF(ISNUMBER(XAA11),_xlfn.RANK.EQ(XAA11,$XAA$2:$XAA$254,0)+COUNTIF($XAA$2:XAA11,XAA11)-1,"")</f>
        <v>10</v>
      </c>
      <c r="XAC11" s="11" t="str">
        <f t="shared" si="1"/>
        <v>leiaotrechoaseguir: oandroidsdkeresponsavelpelogerenciamentodasplataformasdisponiveisparaodesenvolvimentodosaplicativosnoandroidcomestaaplicacaovocepoderarealizarodownloaddasplataformasdeacordocomasuanecessidadefonte:plotzerodrigoprogramacaoparadispositivosmoveis1ªedicaosesesriodejaneiro2017pagina18 otrechoacimaapresentaascaracteristicasdeumadasplataformasutilizadasparaodesenvolvimentodoandroidapartirdessasinformacoesedoconteudoestudadoaposbaixaroandroidsdkenecessarioverificardentreoutrosaspectos:</v>
      </c>
    </row>
    <row r="12" spans="3:6 16242:16253" ht="15.75" x14ac:dyDescent="0.25">
      <c r="C12" s="17">
        <f t="shared" si="2"/>
        <v>11</v>
      </c>
      <c r="D12" s="37" t="s">
        <v>52</v>
      </c>
      <c r="E12" s="37" t="s">
        <v>53</v>
      </c>
      <c r="F12" s="9" t="s">
        <v>27</v>
      </c>
      <c r="WZR12" s="26" t="s">
        <v>22</v>
      </c>
      <c r="WZS12" s="27">
        <v>0</v>
      </c>
      <c r="WZT12" s="27" t="s">
        <v>24</v>
      </c>
      <c r="WZU12" s="28"/>
      <c r="WZW12" s="36"/>
      <c r="XAA12">
        <f t="shared" si="0"/>
        <v>1</v>
      </c>
      <c r="XAB12">
        <f>IF(ISNUMBER(XAA12),_xlfn.RANK.EQ(XAA12,$XAA$2:$XAA$254,0)+COUNTIF($XAA$2:XAA12,XAA12)-1,"")</f>
        <v>11</v>
      </c>
      <c r="XAC12" s="11" t="str">
        <f t="shared" si="1"/>
        <v>aformadeconfigurarogerenciamentoavancadodosdispositivosandroideiosediferentenosdispositivosandroidenecessarioativarogerenciamentodeaplicativosandroidenosioseprecisoconfigurarumapplepushcertificateosusuarioscomdispositivosandroideiosprecisaminstalaroaplicativodevicepolicyouumperfilparaquevocepossagerencialosfonte:googleconfigurarogerenciamentoavancadodedispositivosmoveis:sobreogerenciamentoavancadodedispositivosmoveisdisponivelem:https://supportgooglecom/a/answer/6328699?hl=ptbracessoem:23set2019otrechoacimatratadasformasdistintasemqueerealizadoogerenciamentodosdispositivosmoveisassimconsiderandoasinformacoesapresentadaseosconteudosestudadosanaliseoconjuntoderecursosasempresasoferecidospelomdmaseguireassocieoscomsuasrespectivascaracteristicas1configuracaocentralizadadosdispositivos2medidasdesegurancadosaparelhos3criptografia 4limpezaebloqueiodedispositivos atuacontraaspossiveisameacassistemicascomoosmalwaresoualgumaplicativoclassificadocomomalintencionados saorealizadosremotamenteauxiliandoemsituacoesdeperdaouroubodeaparelhos erealizadanosdadoseelevaoniveldeconfidencialidadeeprivacidadedestesrecursos  naolevaemconsideracaopossiveisdiferencasentreossistemasoperacionaisadotados agoraassinaleaalternativaqueapresentaasequenciacorreta:</v>
      </c>
    </row>
    <row r="13" spans="3:6 16242:16253" x14ac:dyDescent="0.25">
      <c r="C13" s="17">
        <f t="shared" si="2"/>
        <v>12</v>
      </c>
      <c r="D13" s="37" t="s">
        <v>54</v>
      </c>
      <c r="E13" s="37" t="s">
        <v>55</v>
      </c>
      <c r="F13" s="9" t="s">
        <v>27</v>
      </c>
      <c r="WZR13" s="29" t="s">
        <v>18</v>
      </c>
      <c r="WZS13">
        <v>1</v>
      </c>
      <c r="WZT13" t="s">
        <v>25</v>
      </c>
      <c r="WZU13" s="30"/>
      <c r="XAA13">
        <f t="shared" si="0"/>
        <v>1</v>
      </c>
      <c r="XAB13">
        <f>IF(ISNUMBER(XAA13),_xlfn.RANK.EQ(XAA13,$XAA$2:$XAA$254,0)+COUNTIF($XAA$2:XAA13,XAA13)-1,"")</f>
        <v>12</v>
      </c>
      <c r="XAC13" s="11" t="str">
        <f t="shared" si="1"/>
        <v>leiaotrechoaseguir:oaplicativodescobriunoiniciodestemesafalhaquepermitiaqueinvasoresinserissemoviruseexecutassemcodigosemdispositivosmoveisinformouaindaquefezalteracoesemsuainfraestruturanofimdasemanapassadaparaimpedirqueosataquesocorramacrescentandoqueapenasumnumeroseletodeusuariosparecetersidoalvodovirusfonte:oglobowhatsapppedequeusuarioatualizeaplicativoaposdetectarfalhaquepermiteacessodehackeracelulares disponivelem:https://ogloboglobocom/economia/tecnologia/whatsapppedequeusuarioatualizeaplicativoaposdetectarfalhaquepermiteacessodehackercelulares23663379acessoem:23set2019otrechoacimatratadaspossiveisfalhasquepodemocorrernosaplicativospresentesnosdispositivosmoveisconsiderandoessasinformacoeseoconteudoestudadoepossivelafirmarqueumdosaspectosespecificosaosdispositivosmoveisquepodemsetornaratrativosparaoshackerssao:</v>
      </c>
    </row>
    <row r="14" spans="3:6 16242:16253" x14ac:dyDescent="0.25">
      <c r="C14" s="17">
        <f t="shared" si="2"/>
        <v>13</v>
      </c>
      <c r="D14" s="37" t="s">
        <v>56</v>
      </c>
      <c r="E14" s="37" t="s">
        <v>57</v>
      </c>
      <c r="F14" s="9" t="s">
        <v>27</v>
      </c>
      <c r="WZR14" s="29" t="s">
        <v>18</v>
      </c>
      <c r="WZS14">
        <v>2</v>
      </c>
      <c r="WZT14" t="s">
        <v>26</v>
      </c>
      <c r="WZU14" s="30"/>
      <c r="XAA14">
        <f t="shared" si="0"/>
        <v>1</v>
      </c>
      <c r="XAB14">
        <f>IF(ISNUMBER(XAA14),_xlfn.RANK.EQ(XAA14,$XAA$2:$XAA$254,0)+COUNTIF($XAA$2:XAA14,XAA14)-1,"")</f>
        <v>13</v>
      </c>
      <c r="XAC14" s="11" t="str">
        <f t="shared" si="1"/>
        <v>leiaotrechoaseguir:dopontodevistatecnicoo3gtrabalhavisandoatransmissaodedadosdevoztipoaudiosnowhatsappeservicosnainternetnavegacaodesitesdownloadseusodeaplicativosonlineeumaconexaomaisrapidadoqueado2gfonte:cruzbrunasouza3g4ge5g:entendaatecnologiaportrasdaconexaodoseucelulardisponivelem:https://wwwuolcombr/tilt/noticias/redacao/2018/10/18/entendaatecnologiaportrasdo3g4ge5ghtm acessoem:23set2019otrechoacimacitaosaspectosdatecnologia3gapartirdessasinformacoesedoconteudoestudadopodeseconcluirqueaevolucaotecnologicado3gsecaracterizapor:</v>
      </c>
    </row>
    <row r="15" spans="3:6 16242:16253" x14ac:dyDescent="0.25">
      <c r="C15" s="17">
        <f t="shared" si="2"/>
        <v>14</v>
      </c>
      <c r="D15" s="37" t="s">
        <v>58</v>
      </c>
      <c r="E15" s="37" t="s">
        <v>59</v>
      </c>
      <c r="F15" s="9" t="s">
        <v>27</v>
      </c>
      <c r="WZR15" s="29" t="s">
        <v>18</v>
      </c>
      <c r="WZS15">
        <v>3</v>
      </c>
      <c r="WZT15" t="s">
        <v>19</v>
      </c>
      <c r="WZU15" s="30"/>
      <c r="XAA15">
        <f t="shared" si="0"/>
        <v>1</v>
      </c>
      <c r="XAB15">
        <f>IF(ISNUMBER(XAA15),_xlfn.RANK.EQ(XAA15,$XAA$2:$XAA$254,0)+COUNTIF($XAA$2:XAA15,XAA15)-1,"")</f>
        <v>14</v>
      </c>
      <c r="XAC15" s="11" t="str">
        <f t="shared" si="1"/>
        <v>leiaotrechoaseguir:emuitocomumacessarumsitenocelularedescobrirqueotextoaparecemuitopequenooslinksminusculoseoconteudoimpossiveldevisualizaracontentosemprecisarrolaratelanahorizontalessessaosinaisdequeositenaoecompativelcomdispositivosmoveisoquepodelevaraumaexperienciafrustranteanovainiciativaeducativadogooglevisaaajudarosusuariosadescobrircomantecedenciaquaissitesoferecemumaboaexperienciadenavegacaoemdispositivosmoveisfonte:teixeiracarlosalbertogooglefazcampanhaparawebmastersadequaremseussitesadispositivosmoveis disponivelem:https://ogloboglobocom/economia/googlefazcampanhaparawebmastersadequaremseussitesdispositivosmoveis14804387acessoem:23set2019otrechoacimaapresentasugestoesparaqueossitesconsigamadaptarassuaspaginasparaosdispositivosmoveisefacilitarautilizacaoporpartedosusuariosconsiderandoessasinformacoeseoconteudoestudadosobreosaspectosmaiscomunsdousuariodedispositivosmoveisanaliseasafirmativasaseguireassinalevparaasverdadeirasefparaasfalsas:i otamanhoeaforcadousuariopoucoinfluencianoniveldeinteracaocomodispositivomovelii aflexibilidadeedestrezasaoaspectosrelacionadosaoambienteondeodispositivomovelestainserido iii afaltadeconhecimentodousuarioealgoquevaideencontroaosprincipiosdosdispositivosmoveisquesaoausabilidadeesimplicidadeivosdispositivosmoveisapresentamumniveldetransportabilidadeextremamentefacilamao agoraassinaleaalternativaqueapresentaasequenciacorreta:</v>
      </c>
    </row>
    <row r="16" spans="3:6 16242:16253" ht="15.75" thickBot="1" x14ac:dyDescent="0.3">
      <c r="C16" s="17">
        <f t="shared" si="2"/>
        <v>15</v>
      </c>
      <c r="D16" s="37" t="s">
        <v>60</v>
      </c>
      <c r="E16" s="37" t="s">
        <v>61</v>
      </c>
      <c r="F16" s="9" t="s">
        <v>27</v>
      </c>
      <c r="WZR16" s="31" t="s">
        <v>20</v>
      </c>
      <c r="WZS16" s="32">
        <v>4</v>
      </c>
      <c r="WZT16" s="32" t="s">
        <v>21</v>
      </c>
      <c r="WZU16" s="33"/>
      <c r="XAA16">
        <f t="shared" si="0"/>
        <v>1</v>
      </c>
      <c r="XAB16">
        <f>IF(ISNUMBER(XAA16),_xlfn.RANK.EQ(XAA16,$XAA$2:$XAA$254,0)+COUNTIF($XAA$2:XAA16,XAA16)-1,"")</f>
        <v>15</v>
      </c>
      <c r="XAC16" s="11" t="str">
        <f t="shared" si="1"/>
        <v>leiaotrechoabaixo: doexecutivoaocatadordereciclaveis:muitagentejanaoconsegueviversemaplicativoseraldofranciscode50anosconseguiudobrarasuarendaetrabalharmenosusandooappcatakiqueindicaondehamaterialreciclavel fonte:especiaisg1tudonumclique:avidanaeradosappsdisponivelem: http://especiaisg1globocom/economia/tecnologia/avidanaeradosapps/acessoem:23set2019essetrechorefereseaimportanciadosaplicativosnocotidianodaspessoasoquerepresentaumaevolucaotecnologicanousodosdispositivosmoveisapartirdessasinformacoesedoconteudoestudadoarespeitodaintroducaodosdispositivosmoveispodemosafirmarqueparaaevolucaodosdispositivosmoveisocorrerlevaseemconsideracaoofato:</v>
      </c>
    </row>
    <row r="17" spans="3:6 16242:16253" ht="15.75" thickBot="1" x14ac:dyDescent="0.3">
      <c r="C17" s="17">
        <f t="shared" si="2"/>
        <v>16</v>
      </c>
      <c r="D17" s="37" t="s">
        <v>62</v>
      </c>
      <c r="E17" s="37" t="s">
        <v>63</v>
      </c>
      <c r="F17" s="9" t="s">
        <v>27</v>
      </c>
      <c r="WZR17" s="34" t="s">
        <v>23</v>
      </c>
      <c r="WZS17" s="35">
        <f>IF(SUM(XAA:XAA)&gt;3,4,SUM(XAA:XAA))</f>
        <v>4</v>
      </c>
      <c r="WZT17" s="56" t="str">
        <f>VLOOKUP(WZS17,WZS12:WZU16,2,FALSE)</f>
        <v xml:space="preserve">😐 Seja mais específico!	</v>
      </c>
      <c r="WZU17" s="57"/>
      <c r="XAA17">
        <f t="shared" si="0"/>
        <v>1</v>
      </c>
      <c r="XAB17">
        <f>IF(ISNUMBER(XAA17),_xlfn.RANK.EQ(XAA17,$XAA$2:$XAA$254,0)+COUNTIF($XAA$2:XAA17,XAA17)-1,"")</f>
        <v>16</v>
      </c>
      <c r="XAC17" s="11" t="str">
        <f t="shared" si="1"/>
        <v>leiaotrechoaseguir:asolucaocriadacompartilhadeformacriptografadainformacoesdedispositivosmoveiscomosmartphonesetabletsusadosemtransacoesbancariasassimseumcelulardeumusuarioforroubadoporexemplobastacomunicaraobancoepormeiodoblockchainrapidamenteainformacaodorouboseraespalhadaparaqueasoutrasinstituicoestenhamconhecimentodofatoeodispositivonaosejautilizadomaliciosamentefonte:faustinorafaelfebrabancriasolucaoemblockchainparaverificarsegurancadedispositivosmoveis disponivelem:https://epocanegociosglobocom/tecnologia/noticia/2018/06/febrabancriasolucaoemblockchainparaverificarsegurancadedispositivosmoveishtmlacessoem:23set2019otrechoacimatrazalgumasdassolucoesadotadasparaoferecermaissegurancaaosdadosdisponiveisnosdispositivosmoveisapartirdessasinformacoesedoconteudoestudadoarespeitoepossiveldefinirqueousodeumdispositivomovelrequerdentreoutrosaspectos:</v>
      </c>
    </row>
    <row r="18" spans="3:6 16242:16253" x14ac:dyDescent="0.25">
      <c r="C18" s="17">
        <f t="shared" si="2"/>
        <v>17</v>
      </c>
      <c r="D18" s="37" t="s">
        <v>64</v>
      </c>
      <c r="E18" s="37" t="s">
        <v>65</v>
      </c>
      <c r="F18" s="9" t="s">
        <v>27</v>
      </c>
      <c r="XAA18">
        <f t="shared" si="0"/>
        <v>1</v>
      </c>
      <c r="XAB18">
        <f>IF(ISNUMBER(XAA18),_xlfn.RANK.EQ(XAA18,$XAA$2:$XAA$254,0)+COUNTIF($XAA$2:XAA18,XAA18)-1,"")</f>
        <v>17</v>
      </c>
      <c r="XAC18" s="11" t="str">
        <f t="shared" si="1"/>
        <v>leiaotrechoabaixo:oesimofereceumaexperienciaemtransmissaodigitalaosusuariosvindoparagerenciaraconectividadecelularparaempresasaequipedetiestaraaptaafornecerimplantaregerenciaraconectividadecelularmedianteprovedoresdegerenciamentodedispositivosmoveismdmcomoointunedamicrosoftfonte:terraidemiafazparceriacommicrosoftafimdefacilitarogerenciamentoesimparadispositivoscomwindows10disponivelemhttps://wwwterracombr/noticias/dino/idemiafazparceriacommicrosoftafimdefacilitarogerenciamentoesimparadispositivoscomwindows10enterprisea20672feaba3abcc0f28063d1ed2c690npcqrkyhhtmlacessoem:23set2019otrechoacimatratadaparceriafirmadadaidemiacomamicrosoftvisandofacilitarogerenciamentodedispositivosmoveisconsiderandoessasinformacoeseoconteudoestudadoepossivelafirmarqueomdme:</v>
      </c>
    </row>
    <row r="19" spans="3:6 16242:16253" x14ac:dyDescent="0.25">
      <c r="C19" s="17">
        <f t="shared" si="2"/>
        <v>18</v>
      </c>
      <c r="D19" s="37" t="s">
        <v>66</v>
      </c>
      <c r="E19" s="37" t="s">
        <v>67</v>
      </c>
      <c r="F19" s="9" t="s">
        <v>27</v>
      </c>
      <c r="XAA19">
        <f t="shared" si="0"/>
        <v>1</v>
      </c>
      <c r="XAB19">
        <f>IF(ISNUMBER(XAA19),_xlfn.RANK.EQ(XAA19,$XAA$2:$XAA$254,0)+COUNTIF($XAA$2:XAA19,XAA19)-1,"")</f>
        <v>18</v>
      </c>
      <c r="XAC19" s="11" t="str">
        <f t="shared" si="1"/>
        <v>leiaotrechoaseguir:asredesmoveisdelongoalcanceincluemastecnologiasderedessemfiocaracterizadasporpossuiralcanceemareasextensasequeestaobaseadasnospadroes3gppthirdgenerationpartnershipprojectieee80216etecnologiaslegadas2gfazempartetambemastecnologiasviabilizadorasdaquintageracaomovel5gfonte:cpqdcomunicacoessemfio:suportandoasdemandasdaconectividademoveldisponivelem:https://wwwcpqdcombr/inovacao/comunicacoessemfio/ acessoem:23set2019otrechoacimatratadaspossibilidadesqueastecnologiasderedesemfiopodemofereceraousuarioapartirdessasinformacoesedoconteudoestudadopodemosdefinirqueastecnologiashabilitadorassecaracterizampor:</v>
      </c>
    </row>
    <row r="20" spans="3:6 16242:16253" x14ac:dyDescent="0.25">
      <c r="C20" s="17">
        <f t="shared" si="2"/>
        <v>19</v>
      </c>
      <c r="D20" s="37" t="s">
        <v>68</v>
      </c>
      <c r="E20" s="37" t="s">
        <v>69</v>
      </c>
      <c r="F20" s="9" t="s">
        <v>27</v>
      </c>
      <c r="XAA20">
        <f t="shared" si="0"/>
        <v>1</v>
      </c>
      <c r="XAB20">
        <f>IF(ISNUMBER(XAA20),_xlfn.RANK.EQ(XAA20,$XAA$2:$XAA$254,0)+COUNTIF($XAA$2:XAA20,XAA20)-1,"")</f>
        <v>19</v>
      </c>
      <c r="XAC20" s="11" t="str">
        <f t="shared" si="1"/>
        <v>leiaotrechoaseguir:essencialmenteatecnologiacelulardivideareasgeograficasemcelulascadacelulahospedaumaestacaobaseassimcomoumatorrecomumaantenanotopodependendodatecnologiaumatorrecelularpodecaptarumsinalaate40quilometrosdedistanciafonte:estesadamclarkcomocomecouessahistoriadetransmitirinformacoessemfio disponivelem:https://gizmodouolcombr/comocomecouessahistoriadetransmitirinformacoessemfio/acessoem:23set2019otrechoacimaapresentaasvantagensqueatecnologiacelularpodeoferecer apartirdessasinformacoesedoconteudoestudadoepossivelafirmarqueaestacaobasee:</v>
      </c>
    </row>
    <row r="21" spans="3:6 16242:16253" x14ac:dyDescent="0.25">
      <c r="C21" s="17">
        <f t="shared" si="2"/>
        <v>20</v>
      </c>
      <c r="D21" s="37" t="s">
        <v>70</v>
      </c>
      <c r="E21" s="37" t="s">
        <v>71</v>
      </c>
      <c r="F21" s="9" t="s">
        <v>27</v>
      </c>
      <c r="XAA21">
        <f t="shared" si="0"/>
        <v>1</v>
      </c>
      <c r="XAB21">
        <f>IF(ISNUMBER(XAA21),_xlfn.RANK.EQ(XAA21,$XAA$2:$XAA$254,0)+COUNTIF($XAA$2:XAA21,XAA21)-1,"")</f>
        <v>20</v>
      </c>
      <c r="XAC21" s="11" t="str">
        <f t="shared" si="1"/>
        <v>leiaotrechoaseguir:normalmenteossistemasdepagingsaousadasparanotificarumassinantedanecessidadedeligardeterminadonumerodetelefoneouviajarparaumalocalconhecidopararecebermaisinstrucoesosistemadepagingtransmiteapaginaparaaareadeservicousandoestacoesbasequeenviamapaginaemumaportadoraderadiofonte:rappaporttheodorescomunicacoessemfio:principiosepraticas2ªedicaosaopaulopearsonprenticehall2009pagina7considerandoasinformacoesapresentadaseosconteudosestudadosepossivelafirmarqueossistemasdepaging:</v>
      </c>
    </row>
    <row r="22" spans="3:6 16242:16253" x14ac:dyDescent="0.25">
      <c r="C22" s="17">
        <f t="shared" si="2"/>
        <v>21</v>
      </c>
      <c r="D22" s="37" t="s">
        <v>72</v>
      </c>
      <c r="E22" s="37" t="s">
        <v>73</v>
      </c>
      <c r="F22" s="9" t="s">
        <v>28</v>
      </c>
      <c r="XAA22">
        <f t="shared" si="0"/>
        <v>1</v>
      </c>
      <c r="XAB22">
        <f>IF(ISNUMBER(XAA22),_xlfn.RANK.EQ(XAA22,$XAA$2:$XAA$254,0)+COUNTIF($XAA$2:XAA22,XAA22)-1,"")</f>
        <v>21</v>
      </c>
      <c r="XAC22" s="11" t="str">
        <f t="shared" si="1"/>
        <v>leiaotrechoaseguir: odesenvolvimentodoaplicativosedaracomosoftwareandroidstudionalinguagemdeprogramacaokotlinaqualvemmostrandosertendencianocenariodeprogramadoresbuscandotrazerumanovatecnologiaparadentrodaempresabrasileiradepesquisaresumosexpandidosxivmostradeestagiariosebolsistas65agropecuariaembrapafonte:oliveiraemanueldesouzaevangelistasilviorobertomedeirosromanilucianaalvimsantosaplicativoparaconsultainterativaeotimizadaaozoneamentoagricoladeriscoclimaticodisponivelem:https://wwwalicecnptiaembrapabr/alice/bitstream/doc/1101342/1/mostra20186367pdfacessoem01out2019 otrechoacimaapresentaumdosbeneficiosdousodalinguagemkotlin apartirdessasinformacoesedoconteudoestudadosobreousodokotlincomolinguagemalternativaparaoandroidepossivelverificarqueumadasprincipaisvantagensoferecidaspelokotline/saoa/as:</v>
      </c>
    </row>
    <row r="23" spans="3:6 16242:16253" x14ac:dyDescent="0.25">
      <c r="C23" s="17">
        <f t="shared" si="2"/>
        <v>22</v>
      </c>
      <c r="D23" s="37" t="s">
        <v>74</v>
      </c>
      <c r="E23" s="37" t="s">
        <v>75</v>
      </c>
      <c r="F23" s="9" t="s">
        <v>28</v>
      </c>
      <c r="XAA23">
        <f t="shared" si="0"/>
        <v>1</v>
      </c>
      <c r="XAB23">
        <f>IF(ISNUMBER(XAA23),_xlfn.RANK.EQ(XAA23,$XAA$2:$XAA$254,0)+COUNTIF($XAA$2:XAA23,XAA23)-1,"")</f>
        <v>22</v>
      </c>
      <c r="XAC23" s="11" t="str">
        <f t="shared" si="1"/>
        <v>leiaotrechoaseguir:alinguagemjavascripttambemtemsuportenativoparaarraysemborasuaprimeiraversaotenhasidolancadasemessesuporteumarrayarmazenavaloressequencialmentetodosaomesmotempofonte:bronerloianeestruturadedadosealgoritmosemjavascriptsaopaulo:novate2017p60  considerandoasinformacoesapresentadaseosconteudosestudadossobreosarquivosdecodigojavaepossivelafirmarqueosarrayssao:</v>
      </c>
    </row>
    <row r="24" spans="3:6 16242:16253" x14ac:dyDescent="0.25">
      <c r="C24" s="17">
        <f t="shared" si="2"/>
        <v>23</v>
      </c>
      <c r="D24" s="37" t="s">
        <v>76</v>
      </c>
      <c r="E24" s="37" t="s">
        <v>77</v>
      </c>
      <c r="F24" s="9" t="s">
        <v>28</v>
      </c>
      <c r="XAA24">
        <f t="shared" si="0"/>
        <v>1</v>
      </c>
      <c r="XAB24">
        <f>IF(ISNUMBER(XAA24),_xlfn.RANK.EQ(XAA24,$XAA$2:$XAA$254,0)+COUNTIF($XAA$2:XAA24,XAA24)-1,"")</f>
        <v>23</v>
      </c>
      <c r="XAC24" s="11" t="str">
        <f t="shared" si="1"/>
        <v>leiaotrechoaseguir:javascriptfoicriadananetscapenafaseinicialdawebetecnicamentejavascriptemarcaregistradalicenciadapelasunmicrosystemsagoraoracleusadaparadescreveraimplementacaodalinguagempelonetscapeagoramozilla fonte:davidflanaganjavascript:oguiadefinitivoportoalegre:bookman2013p2apartirdessasinformacoesedoconteudoestudadosobrecriacaodeaplicativosandroidcomalinguagemjavaepossivelafirmarqueojavascripteojavaseassemelhamnoqueserefereaos:</v>
      </c>
    </row>
    <row r="25" spans="3:6 16242:16253" x14ac:dyDescent="0.25">
      <c r="C25" s="17">
        <f t="shared" si="2"/>
        <v>24</v>
      </c>
      <c r="D25" s="37" t="s">
        <v>78</v>
      </c>
      <c r="E25" s="37" t="s">
        <v>79</v>
      </c>
      <c r="F25" s="9" t="s">
        <v>28</v>
      </c>
      <c r="XAA25">
        <f t="shared" si="0"/>
        <v>1</v>
      </c>
      <c r="XAB25">
        <f>IF(ISNUMBER(XAA25),_xlfn.RANK.EQ(XAA25,$XAA$2:$XAA$254,0)+COUNTIF($XAA$2:XAA25,XAA25)-1,"")</f>
        <v>24</v>
      </c>
      <c r="XAC25" s="11" t="str">
        <f t="shared" si="1"/>
        <v>leiaotrechoabaixo:eumkitdedesenvolvimentoquepermiteaosprogramadoresdesenvolveremaplicacoesemjavaaempresaoraclecorporationoforneceparadownloadcomsuporteadiversossistemasoperacionais fonte:schefferhudsondesenvolvimentoparadispositivosmoveislondrina:editoraedistribuidoraeducacionalsa2018p11considerandoessasinformacoeseoconteudoestudadosobreasconfiguracoesdosistemaandroidepossivelafirmarqueotrechoacimaserefereadefinicaode:</v>
      </c>
    </row>
    <row r="26" spans="3:6 16242:16253" x14ac:dyDescent="0.25">
      <c r="C26" s="17">
        <f t="shared" si="2"/>
        <v>25</v>
      </c>
      <c r="D26" s="37" t="s">
        <v>80</v>
      </c>
      <c r="E26" s="37" t="s">
        <v>43</v>
      </c>
      <c r="F26" s="9" t="s">
        <v>28</v>
      </c>
      <c r="XAA26">
        <f t="shared" si="0"/>
        <v>1</v>
      </c>
      <c r="XAB26">
        <f>IF(ISNUMBER(XAA26),_xlfn.RANK.EQ(XAA26,$XAA$2:$XAA$254,0)+COUNTIF($XAA$2:XAA26,XAA26)-1,"")</f>
        <v>25</v>
      </c>
      <c r="XAC26" s="11" t="str">
        <f t="shared" si="1"/>
        <v>leiaotrechoaseguir: valeapenacitarqueasversoesmaisrecentesdoiospodemounaosercompativeiscomoshardwaresmaisantigosdosdispositivosdaappleservindocomoumguiainicialparasaberqualversaodosistemaoperacionalesuportadaporcadahardwarefonte:milaniandreprogramandoparaiphoneeipad:aprendaaconstruiraplicativosparaoiossaopaulo:novateceditora2012p16otrechoacimatratadaspossiveislimitacoesaosquaisaarquiteturaiosestasujeitaassimeconsiderandoosconteudossobreasplataformasdedesenvolvimentomovelanaliseasafirmativasaseguirsobreasoutrasrestricoesdasaplicacoesdeios:iquantoaolimitedeprocessamentocabeaodesenvolvedorconhecerosdispositivosequaisosseusrecursosmaisimportantesparaserutilizadosdemaneiraapropriadaeumaaplicacaoexecutadacomsucesso iiotempoderespostanormalmenteocorrequandoumaaplicacaoapresentarvariadostamanhosdetelaessesvaloressaoconsideradosaolongododesenvolvimentodesuasaplicacoes  iiinoqueserefereaotamanhodememoriapodeseafirmarqueessesaspectospodemserdistintosentreosdispositivosporemapresentacapacidademenorqueoscomputadoresdemesaporexemploivaresolucaograficaocorrequandoosdispositivoslevamalgunssegundospararespondercertasocasioesemqueoiosentendequeaaplicacaoseencontraemestadodeausenciaderespostaepodeinterromperasuaexecucaoestacorretoapenasoqueseafirmaem:</v>
      </c>
    </row>
    <row r="27" spans="3:6 16242:16253" x14ac:dyDescent="0.25">
      <c r="C27" s="17">
        <f t="shared" si="2"/>
        <v>26</v>
      </c>
      <c r="D27" s="37" t="s">
        <v>81</v>
      </c>
      <c r="E27" s="37" t="s">
        <v>82</v>
      </c>
      <c r="F27" s="9" t="s">
        <v>28</v>
      </c>
      <c r="XAA27">
        <f t="shared" si="0"/>
        <v>1</v>
      </c>
      <c r="XAB27">
        <f>IF(ISNUMBER(XAA27),_xlfn.RANK.EQ(XAA27,$XAA$2:$XAA$254,0)+COUNTIF($XAA$2:XAA27,XAA27)-1,"")</f>
        <v>26</v>
      </c>
      <c r="XAC27" s="11" t="str">
        <f t="shared" si="1"/>
        <v>leiaotrechoabaixo:oprocessodeinstalacaoegerenciamentodosdkerealizadonoambientedoandroidstudiopormeiodosdkmanagergerenciadordosdkemalgunsmomentosseranecessarioacessarosdkmanagerparafazerdownloaddenovoscomponentesouatualizaroscomponentesjainstaladosfonte:schefferhudsondesenvolvimentoparadispositivosmoveislondrina:editoraedistribuidoraeducacionalsa2018p12otrechoacimatratadogerenciamentodosdkconsiderandoessasinformacoeseoconteudoestudadosobreasconfiguracoesdosistemaandroidepossivelafirmarquesdksecaracterizapor:</v>
      </c>
    </row>
    <row r="28" spans="3:6 16242:16253" x14ac:dyDescent="0.25">
      <c r="C28" s="17">
        <f t="shared" si="2"/>
        <v>27</v>
      </c>
      <c r="D28" s="37" t="s">
        <v>83</v>
      </c>
      <c r="E28" s="37" t="s">
        <v>84</v>
      </c>
      <c r="F28" s="9" t="s">
        <v>28</v>
      </c>
      <c r="XAA28">
        <f t="shared" si="0"/>
        <v>1</v>
      </c>
      <c r="XAB28">
        <f>IF(ISNUMBER(XAA28),_xlfn.RANK.EQ(XAA28,$XAA$2:$XAA$254,0)+COUNTIF($XAA$2:XAA28,XAA28)-1,"")</f>
        <v>27</v>
      </c>
      <c r="XAC28" s="11" t="str">
        <f t="shared" si="1"/>
        <v>leiaotrechoaseguir:oaddongoogleapiseumaextensaodoandroidsdkquedisponibilizaessencialmenteumaapiexternaparatrabalharcommapasatedeoutroscomponenteseservicosdogooglequerodamnoandroidfonte:monteirojoaoboscogoogleandroidcasadocodigosaopaulo2014p119 otrechoacimatrataumdosmodelosdeextensaosdkutilizadoassimconsiderandoasinformacoesapresentadaseosconteudosestudadossobreextensaodoapinosdkpodemosafirmarqueorapanuieumaapi:</v>
      </c>
    </row>
    <row r="29" spans="3:6 16242:16253" x14ac:dyDescent="0.25">
      <c r="C29" s="17">
        <f t="shared" si="2"/>
        <v>28</v>
      </c>
      <c r="D29" s="37" t="s">
        <v>85</v>
      </c>
      <c r="E29" s="37" t="s">
        <v>86</v>
      </c>
      <c r="F29" s="9" t="s">
        <v>28</v>
      </c>
      <c r="XAA29">
        <f t="shared" si="0"/>
        <v>1</v>
      </c>
      <c r="XAB29">
        <f>IF(ISNUMBER(XAA29),_xlfn.RANK.EQ(XAA29,$XAA$2:$XAA$254,0)+COUNTIF($XAA$2:XAA29,XAA29)-1,"")</f>
        <v>28</v>
      </c>
      <c r="XAC29" s="11" t="str">
        <f t="shared" si="1"/>
        <v>leiaotrechoaseguir:porpadraooideaconfiguracomoandroidassimsaoexibidosapenasosarquivosmaisimportantesparaodesenvolvimentodoprojetoparaveraestruturarealdearquivosselecioneaopcaoprojectfonte:schefferhudsondesenvolvimentoparadispositivosmoveislondrina:editoraedistribuidoraeducacionalsa2018p256apartirdessasinformacoesedoconteudoestudadoarespeitodacriacaodoprimeiroprojetopodemosdefinirqueafiltragemdosarquivose:</v>
      </c>
    </row>
    <row r="30" spans="3:6 16242:16253" x14ac:dyDescent="0.25">
      <c r="C30" s="17">
        <f t="shared" si="2"/>
        <v>29</v>
      </c>
      <c r="D30" s="37" t="s">
        <v>87</v>
      </c>
      <c r="E30" s="37" t="s">
        <v>88</v>
      </c>
      <c r="F30" s="9" t="s">
        <v>28</v>
      </c>
      <c r="XAA30">
        <f t="shared" si="0"/>
        <v>1</v>
      </c>
      <c r="XAB30">
        <f>IF(ISNUMBER(XAA30),_xlfn.RANK.EQ(XAA30,$XAA$2:$XAA$254,0)+COUNTIF($XAA$2:XAA30,XAA30)-1,"")</f>
        <v>29</v>
      </c>
      <c r="XAC30" s="11" t="str">
        <f t="shared" si="1"/>
        <v>leiaotrechoabaixo:ogradleeumsistemaopensourcedeautomacaodebuildquesegueosmesmosconceitosdeferramentascomoantemarvenambosemapachefoundationentretantoemvezdeutilizararquivosxmlparadefiniroprocessobuilogradleutilizaumadslfonte:glaubernelsondominandooandroidcomkotlinsaopaulo:novateceditora20193ªedicaop29 atravesdasinformacoesabordadasnotextoebaseandosenoconteudoestudadosobreacriacaodoprimeiroprojetoepossivelafirmarqueaprincipalfuncaodogradlee:</v>
      </c>
    </row>
    <row r="31" spans="3:6 16242:16253" x14ac:dyDescent="0.25">
      <c r="C31" s="17">
        <f t="shared" si="2"/>
        <v>30</v>
      </c>
      <c r="D31" s="37" t="s">
        <v>89</v>
      </c>
      <c r="E31" s="37" t="s">
        <v>90</v>
      </c>
      <c r="F31" s="9" t="s">
        <v>28</v>
      </c>
      <c r="XAA31">
        <f t="shared" si="0"/>
        <v>1</v>
      </c>
      <c r="XAB31">
        <f>IF(ISNUMBER(XAA31),_xlfn.RANK.EQ(XAA31,$XAA$2:$XAA$254,0)+COUNTIF($XAA$2:XAA31,XAA31)-1,"")</f>
        <v>30</v>
      </c>
      <c r="XAC31" s="11" t="str">
        <f t="shared" si="1"/>
        <v>leiaotrechoaseguir:float:palavrachavejavausadaparadefinirumavariavelprimitivacomumnumerodepontoflutuantede4bytesdearmazenamentoaclassewrappercorrespondenteeofloatfonte:fineganedwardliguorirobertocajavase8:guiadeestudosparaoexame1z0808portoalegre:bookman2018p498 otrechoacimaapresentaadefinicaodofloatapartirdessasinformacoesedoconteudoestudadosobreaprendendojavaepossivelafirmarqueapalavrachavefloatindica:</v>
      </c>
    </row>
    <row r="32" spans="3:6 16242:16253" x14ac:dyDescent="0.25">
      <c r="C32" s="17">
        <f t="shared" si="2"/>
        <v>31</v>
      </c>
      <c r="D32" s="37" t="s">
        <v>91</v>
      </c>
      <c r="E32" s="37" t="s">
        <v>92</v>
      </c>
      <c r="F32" s="9" t="s">
        <v>28</v>
      </c>
      <c r="XAA32">
        <f t="shared" si="0"/>
        <v>1</v>
      </c>
      <c r="XAB32">
        <f>IF(ISNUMBER(XAA32),_xlfn.RANK.EQ(XAA32,$XAA$2:$XAA$254,0)+COUNTIF($XAA$2:XAA32,XAA32)-1,"")</f>
        <v>31</v>
      </c>
      <c r="XAC32" s="11" t="str">
        <f t="shared" si="1"/>
        <v>leiaotrechoaseguir:kotlineumalinguagemdeprogramacaodesenvolvidaspelajetbrainsmemsempresaquecriouoandroidstudiotemumasintaxemuitosimpleseagradavelqueecompiladaparaexecutarnajvmjavavirtualmachineportantoproporcionainteroperabilidadetotalcomjava  fonte:lechetaricardorandroidandroidessencialcomkotlinsaopaulo: novatec2017p35 apartirdessasinformacoesedoconteudoestudadosobreousodokotlincomolinguagemalternativaparaoandroidepossivelafirmarqueaexecucaodoscodigoskotlin:</v>
      </c>
    </row>
    <row r="33" spans="3:6 16251:16253" x14ac:dyDescent="0.25">
      <c r="C33" s="17">
        <f t="shared" si="2"/>
        <v>32</v>
      </c>
      <c r="D33" s="37" t="s">
        <v>93</v>
      </c>
      <c r="E33" s="37" t="s">
        <v>94</v>
      </c>
      <c r="F33" s="9" t="s">
        <v>28</v>
      </c>
      <c r="XAA33">
        <f t="shared" si="0"/>
        <v>1</v>
      </c>
      <c r="XAB33">
        <f>IF(ISNUMBER(XAA33),_xlfn.RANK.EQ(XAA33,$XAA$2:$XAA$254,0)+COUNTIF($XAA$2:XAA33,XAA33)-1,"")</f>
        <v>32</v>
      </c>
      <c r="XAC33" s="11" t="str">
        <f t="shared" si="1"/>
        <v>leiaotrechoaseguir:adeclaracaodeumavariavelnaodefinenemgaranteoseuvalorvariaveisnaoinicializadaspodemconterqualquervaloresendoassimseuusoacidentalpodeconduziraresultadosestranhoslevandonosaprocurarproblemasemoutraspartesdoprogramafonte:jandljuniorpetercursobasicodelinguagemcsaopaulo:novatec2019p2 considerandoessasinformacoeseoconteudoestudadosobreoaprendendojavaanaliseaslinhasdecodigoquetratamdeumadeclaracaodevariaveleassocieascomsuasrespectivascaracteristicas: 1string 2mensagem3sinaldeigualdade=4sinalpontoevirgula  podemexporletrassublinhadosounumeroentretantonaopodemseiniciarpormeiodeumnumero  caracterizaseporserumoperadordeatribuicaoousejapodeserusadoparaestabelecervaloresevariaveis   caractereutilizadoparaencerraalinhadecodigoousejaumadeclaracaoemjava   apalavrainicialobservadaquandosedeclaraumavariaveleemrelacaoaotipodedadosquetrazainformacaodequalmodelodedadosavariaveliraarmazenaragoraassinaleaalternativaqueapresentaasequenciacorreta:</v>
      </c>
    </row>
    <row r="34" spans="3:6 16251:16253" x14ac:dyDescent="0.25">
      <c r="C34" s="17">
        <f t="shared" si="2"/>
        <v>33</v>
      </c>
      <c r="D34" s="37" t="s">
        <v>95</v>
      </c>
      <c r="E34" s="37" t="s">
        <v>59</v>
      </c>
      <c r="F34" s="9" t="s">
        <v>28</v>
      </c>
      <c r="XAA34">
        <f t="shared" si="0"/>
        <v>1</v>
      </c>
      <c r="XAB34">
        <f>IF(ISNUMBER(XAA34),_xlfn.RANK.EQ(XAA34,$XAA$2:$XAA$254,0)+COUNTIF($XAA$2:XAA34,XAA34)-1,"")</f>
        <v>33</v>
      </c>
      <c r="XAC34" s="11" t="str">
        <f t="shared" si="1"/>
        <v>leiaotrechoaseguir:duranteoprocessodecompilacaookitdedesenvolvimentodesoftwaresdkexecutaaferramentaandroidassetpackagingtoolaaptferramentadeempacotamentoderecursosdoandroidessaferramentaseencarregadeprocurarporarquivosereferenciasderecursosecomoresultadoaclasseregeradaautomaticamentefonte:schefferhudsondesenvolvimentoparadispositivosmoveislondrina:editoraedistribuidoraeducacionalsa2018p52considerandoessasinformacoeseoconteudoestudadosobreautilizacaodosdknoandroidanaliseasafirmativasaseguireassinalevparaasverdadeirasefparaasfalsasi   aclasseprincipaledenominadadetcgfgroupcujaprincipalfuncaoeimplementaraperformancegeraldoscomponentesapresentadosnatelaii aclasseclassificadacomotcgfdisplayobjectpossibilitaauniaodecomponentesvisandoocriacaodeelementosvisuaiscommaiorniveldecomplexidadeiii otcgfinputmanagertemafuncaodeabstrairoprocessodeanalisedoseventosqueadotamotoqueoucliquedemouseepassamaentendeloscomogesto iv astelassensiveisaotoqueestaodisponiveisdesdeosanos80porematecnologiadohardwareadotadanaepocalimitavaainteracaocomousuarioagoraassinaleaalternativaqueapresentaasequenciacorreta:</v>
      </c>
    </row>
    <row r="35" spans="3:6 16251:16253" x14ac:dyDescent="0.25">
      <c r="C35" s="17">
        <f t="shared" si="2"/>
        <v>34</v>
      </c>
      <c r="D35" s="37" t="s">
        <v>96</v>
      </c>
      <c r="E35" s="37" t="s">
        <v>97</v>
      </c>
      <c r="F35" s="9" t="s">
        <v>28</v>
      </c>
      <c r="XAA35">
        <f t="shared" si="0"/>
        <v>1</v>
      </c>
      <c r="XAB35">
        <f>IF(ISNUMBER(XAA35),_xlfn.RANK.EQ(XAA35,$XAA$2:$XAA$254,0)+COUNTIF($XAA$2:XAA35,XAA35)-1,"")</f>
        <v>34</v>
      </c>
      <c r="XAC35" s="11" t="str">
        <f t="shared" si="1"/>
        <v>leiaotrechoaseguir:emseunucleocoreogwteumcompiladorespecialquepodetransformarjavaemjavascriptcomumruntimeminimopermitequevoceescrevasobretudocodigojavapadraoentaoocompileparjavascriptpararodaremumbrowserououtroambientehtml fonte:marinaccijoshuaconstruindoaplicativosmoveiscomjavasaopaulo:novatecp14 apartirdessasinformacoesedoconteudoestudadosobreosarquivosdecodigojavapodeseconcluirqueumaclasse:</v>
      </c>
    </row>
    <row r="36" spans="3:6 16251:16253" x14ac:dyDescent="0.25">
      <c r="C36" s="17">
        <f t="shared" si="2"/>
        <v>35</v>
      </c>
      <c r="D36" s="37" t="s">
        <v>98</v>
      </c>
      <c r="E36" s="37" t="s">
        <v>99</v>
      </c>
      <c r="F36" s="9" t="s">
        <v>28</v>
      </c>
      <c r="XAA36">
        <f t="shared" si="0"/>
        <v>1</v>
      </c>
      <c r="XAB36">
        <f>IF(ISNUMBER(XAA36),_xlfn.RANK.EQ(XAA36,$XAA$2:$XAA$254,0)+COUNTIF($XAA$2:XAA36,XAA36)-1,"")</f>
        <v>35</v>
      </c>
      <c r="XAC36" s="11" t="str">
        <f t="shared" si="1"/>
        <v>leiaotrechoaseguir: sevoceinstalouojava2sdkeprovavelquequetenhavistoaexecucaodoappletojavapluginpodeserinstaladojuntocomosdkeconfiguradoparasubstituirointerpretadorjavaembutidonainternetexploreeemoutrosbrowsersfonte:cadenheadrogersaprendaem21diasjava2riodejaneiro:elsevier2005p259otrechoacimatrazumadasfuncionalidadesdosdkcombasenessasinformacoesenoconteudoestudadosobreasalternativasdesdkparadesenvolvimentomultiplataformapodeseafirmarqueosfatoresprincipaisquedeterminamaopcaopelosdksao:</v>
      </c>
    </row>
    <row r="37" spans="3:6 16251:16253" x14ac:dyDescent="0.25">
      <c r="C37" s="17">
        <f t="shared" si="2"/>
        <v>36</v>
      </c>
      <c r="D37" s="37" t="s">
        <v>100</v>
      </c>
      <c r="E37" s="37" t="s">
        <v>101</v>
      </c>
      <c r="F37" s="9" t="s">
        <v>28</v>
      </c>
      <c r="XAA37">
        <f t="shared" si="0"/>
        <v>1</v>
      </c>
      <c r="XAB37">
        <f>IF(ISNUMBER(XAA37),_xlfn.RANK.EQ(XAA37,$XAA$2:$XAA$254,0)+COUNTIF($XAA$2:XAA37,XAA37)-1,"")</f>
        <v>36</v>
      </c>
      <c r="XAC37" s="11" t="str">
        <f t="shared" si="1"/>
        <v>leiaotrechoabaixo: oiosfoidesenvolvidopelaappleesuaexecucaoerestritaaoshardwaresconstruidosporelaportantosomenteosdispositivosdapropriaautoraequeexecutamcomsucessooiosasversoesmaisatuaisdoiosjapossuemsuporteparaosnovoshardwaresembutidosnosmaisrecentesdispositivosmoveisdaappleentreelessuporteparaacelerometrogiroscopiocameraegpsentreoutrosrecursos fonte:milaniandreprogramandoparaiphoneeipad:aprendaaconstruiraplicativosparaoiossaopaulo:novateceditora2012p14essetrechorefereseaumadascaracteristicasdoiosapartirdessasinformacoesedoconteudoestudadoarespeitodasplataformasdedesenvolvimentomovelpodemosafirmarqueoiospodeserdefinidocomo:</v>
      </c>
    </row>
    <row r="38" spans="3:6 16251:16253" x14ac:dyDescent="0.25">
      <c r="C38" s="17">
        <f t="shared" si="2"/>
        <v>37</v>
      </c>
      <c r="D38" s="37" t="s">
        <v>102</v>
      </c>
      <c r="E38" s="37" t="s">
        <v>103</v>
      </c>
      <c r="F38" s="9" t="s">
        <v>28</v>
      </c>
      <c r="XAA38">
        <f t="shared" si="0"/>
        <v>1</v>
      </c>
      <c r="XAB38">
        <f>IF(ISNUMBER(XAA38),_xlfn.RANK.EQ(XAA38,$XAA$2:$XAA$254,0)+COUNTIF($XAA$2:XAA38,XAA38)-1,"")</f>
        <v>37</v>
      </c>
      <c r="XAC38" s="11" t="str">
        <f t="shared" si="1"/>
        <v>leiaotrechoaseguir:considerandojavacomoalinguagemorientadaaobjetosdoandroidjapodemosaceitaralgunspontosfundamentais:emjavasempreestamosescrevendocodigodentrodeumaclasseumaclassechamae/ouusaoutraclasse/objetoeassimoprogramaseguefuncionandofonte:querinofilholuiscarlosdesenvolvendooprimeiroaplicativoandroidsaopaulo:novatec2014p133  otrechoacimatratadosaspectosfundamentaisdalinguagemjavaapartirdessasinformacoesedoconteudoestudadosobrecriacaodeaplicativosandroidcomalinguagemjavapodemosconsiderarqueumalinguagemdeprogramacaojavaapresentacomoaspectos:</v>
      </c>
    </row>
    <row r="39" spans="3:6 16251:16253" x14ac:dyDescent="0.25">
      <c r="C39" s="17">
        <f t="shared" si="2"/>
        <v>38</v>
      </c>
      <c r="D39" s="37" t="s">
        <v>104</v>
      </c>
      <c r="E39" s="37" t="s">
        <v>105</v>
      </c>
      <c r="F39" s="9" t="s">
        <v>28</v>
      </c>
      <c r="XAA39">
        <f t="shared" si="0"/>
        <v>1</v>
      </c>
      <c r="XAB39">
        <f>IF(ISNUMBER(XAA39),_xlfn.RANK.EQ(XAA39,$XAA$2:$XAA$254,0)+COUNTIF($XAA$2:XAA39,XAA39)-1,"")</f>
        <v>38</v>
      </c>
      <c r="XAC39" s="11" t="str">
        <f t="shared" si="1"/>
        <v>leiaotrechoaseguir:existemalgunsrecursosdeaceleracaodehardwarequepodemmelhorarodesempenhodoemuladorantesdeexecutarumaplicativonoemuladorvoceprecisacriarumavdandroidvirtualdevicefonte:harveydeitelpauldeitelabbeydeitelandroid:comoprogramarportoalegre:bookmaneditora2ªedicao2015p22considerandoessasinformacoeseoconteudoestudadosobreasconfiguracoesdosistemaandroidepossivelafirmarqueoavdsecaracterizapor:</v>
      </c>
    </row>
    <row r="40" spans="3:6 16251:16253" x14ac:dyDescent="0.25">
      <c r="C40" s="17">
        <f t="shared" si="2"/>
        <v>39</v>
      </c>
      <c r="D40" s="37" t="s">
        <v>106</v>
      </c>
      <c r="E40" s="37" t="s">
        <v>59</v>
      </c>
      <c r="F40" s="9" t="s">
        <v>28</v>
      </c>
      <c r="XAA40">
        <f t="shared" si="0"/>
        <v>1</v>
      </c>
      <c r="XAB40">
        <f>IF(ISNUMBER(XAA40),_xlfn.RANK.EQ(XAA40,$XAA$2:$XAA$254,0)+COUNTIF($XAA$2:XAA40,XAA40)-1,"")</f>
        <v>39</v>
      </c>
      <c r="XAC40" s="11" t="str">
        <f t="shared" si="1"/>
        <v>leiaotrechoaseguir: asversoesanterioresdoandroidsdkeramumarquivocompletodeferramentasdocumentacaoeclassesapartirdaversao16dosdkoarquivocontemsomenteferramentasessencialmenteumconjuntodeferramentassdkmanagementfonte:ablesonwfrankandroidemacaoriodejaneiro:elsevier2012p594otrechoacimatrazascaracteristicasdeumandroidsdkconsiderandoessasinformacoeseoconteudoestudadosobreasalternativasdesdkparadesenvolvimentomultiplataformaanaliseasafirmativasaseguireassinalevparaasverdadeirasefparaasfalsasi ocoronaeumsdkqueservedeuminstrumentodesuporteaoioseaoandroidporemapresentarecursoslimitadosemrelacaoasuaestrutura ii giderosstudioapresentaumaapidenivelaltoefacilutilizacaoembibliotecasparasimulacaodefisicaadaptadaascolisoescontroledemapasdentreoutrosaspectosiii haviaumaausenciadesupotedogiderosemrelacaoaosuportedabibliotecaluasocketsqueevistocomoumaspectoessencialpararealizaracomunicacaoderedeivomoaiapresentavariasbibliotecasintegradaseservicosalemdissoeleofereceumcodigofonteaberto</v>
      </c>
    </row>
    <row r="41" spans="3:6 16251:16253" x14ac:dyDescent="0.25">
      <c r="C41" s="17">
        <f t="shared" si="2"/>
        <v>40</v>
      </c>
      <c r="D41" s="37" t="s">
        <v>107</v>
      </c>
      <c r="E41" s="37" t="s">
        <v>108</v>
      </c>
      <c r="F41" s="9" t="s">
        <v>28</v>
      </c>
      <c r="XAA41">
        <f t="shared" si="0"/>
        <v>1</v>
      </c>
      <c r="XAB41">
        <f>IF(ISNUMBER(XAA41),_xlfn.RANK.EQ(XAA41,$XAA$2:$XAA$254,0)+COUNTIF($XAA$2:XAA41,XAA41)-1,"")</f>
        <v>40</v>
      </c>
      <c r="XAC41" s="11" t="str">
        <f t="shared" si="1"/>
        <v>cadalancamentodeversaodoandroiddemandamesesatequeodispositivomoveldousuariosejaatualizadoaocriarumprojetonoandroidstudiooidefornecedadossobreaabrangenciadeusuariosparacadaversaodisponiveldosistemafonte:schefferhudsondesenvolvimentoparadispositivosmoveislondrina:editoraedistribuidoraeducacionalsa2018p15considerandoessasinformacoeseoconteudoestudadosobreoambientededesenvolvimentoandroidstudiopodemosafirmarqueostrescomponentesbasicosparaainstalacaodoandroidstudiosaorespectivamente:</v>
      </c>
    </row>
    <row r="42" spans="3:6 16251:16253" x14ac:dyDescent="0.25">
      <c r="C42" s="17">
        <f t="shared" si="2"/>
        <v>41</v>
      </c>
      <c r="D42" s="37" t="s">
        <v>109</v>
      </c>
      <c r="E42" s="37" t="s">
        <v>110</v>
      </c>
      <c r="F42" s="9" t="s">
        <v>3</v>
      </c>
      <c r="XAA42">
        <f t="shared" si="0"/>
        <v>1</v>
      </c>
      <c r="XAB42">
        <f>IF(ISNUMBER(XAA42),_xlfn.RANK.EQ(XAA42,$XAA$2:$XAA$254,0)+COUNTIF($XAA$2:XAA42,XAA42)-1,"")</f>
        <v>41</v>
      </c>
      <c r="XAC42" s="11" t="str">
        <f t="shared" si="1"/>
        <v>leiaoexcertoaseguir:umamaneiradedesenharvariasformascomxmlecriarvariosarquivosxmlquerepresentemformasdiferentesumamaneirasimplesdefazerissoealteraroarquivoxmldrawablexmlqueadicionaumaseriedeformaseasempilhaverticalmentefonte:ablesonwetal androidemacaoriodejaneiro:elsevier2012otrechoapresentadotrazascaracteristicasdeumdrawablexmlconsiderandoessasinformacoeseoconteudoestudadosobreoselementosgraficoseanimacoescomaapigraphicsdoandroidpodeseafirmarqueousodadrawablexmldoandroidpermite:</v>
      </c>
    </row>
    <row r="43" spans="3:6 16251:16253" x14ac:dyDescent="0.25">
      <c r="C43" s="17">
        <f t="shared" si="2"/>
        <v>42</v>
      </c>
      <c r="D43" s="37" t="s">
        <v>111</v>
      </c>
      <c r="E43" s="37" t="s">
        <v>112</v>
      </c>
      <c r="F43" s="9" t="s">
        <v>3</v>
      </c>
      <c r="XAA43">
        <f t="shared" si="0"/>
        <v>1</v>
      </c>
      <c r="XAB43">
        <f>IF(ISNUMBER(XAA43),_xlfn.RANK.EQ(XAA43,$XAA$2:$XAA$254,0)+COUNTIF($XAA$2:XAA43,XAA43)-1,"")</f>
        <v>42</v>
      </c>
      <c r="XAC43" s="11" t="str">
        <f t="shared" si="1"/>
        <v>leiaotrechoaseguir:oarquivoandroidmanifestxmlexistenaraizdodiretoriodoaplicativoecontemtodasasrelacoesprojetadasentreumaplicativoespecificoeosintentsosarquivosandroidmanfestxmlagemcomodescritoresdeimplementacaodeaplicativosandroidfonte:ablesonwetal androidemacaoriodejaneiro:elsevier2012otrechoapresentadotratadadefinicaodeumarquivoandroidmanifestxmlesuasfuncionalidadesconsiderandoessasinformacoeseoconteudoestudadosobreosprincipaismodelosdecomponentesandroidpodeseafirmarqueoaplicativoaoinserirumcomponentereceiverdentrodoarquivoandroidmanfestxmlindicaque:</v>
      </c>
    </row>
    <row r="44" spans="3:6 16251:16253" x14ac:dyDescent="0.25">
      <c r="C44" s="17">
        <f t="shared" si="2"/>
        <v>43</v>
      </c>
      <c r="D44" s="37" t="s">
        <v>113</v>
      </c>
      <c r="E44" s="37" t="s">
        <v>114</v>
      </c>
      <c r="F44" s="9" t="s">
        <v>3</v>
      </c>
      <c r="XAA44">
        <f t="shared" si="0"/>
        <v>1</v>
      </c>
      <c r="XAB44">
        <f>IF(ISNUMBER(XAA44),_xlfn.RANK.EQ(XAA44,$XAA$2:$XAA$254,0)+COUNTIF($XAA$2:XAA44,XAA44)-1,"")</f>
        <v>43</v>
      </c>
      <c r="XAC44" s="11" t="str">
        <f t="shared" si="1"/>
        <v>leiaoexcertoaseguir:oxmltambemdefinelayoutparamsusandoaconvencaoandroid:layout_[attribute]onde[attribute]serefereaumatributodelayoutcomolarguraoualturaalemdolayoutvocetambempodedefiniroutrosatributosrelacionadosaviewemxmlcomoandroid:paddingqueeanalogoaometodosetpaddingfonte:ablesonwetal androidemacaoriodejaneiro:elsevier2012otrechoapresentadodiscorresobreasdefinicoesatribuidasaoarquivoxmlconsiderandoessasinformacoeseoconteudoestudadosobreoselementosgraficoseanimacoescomaapigraphicsdoandroidpodeseafirmarqueatagpaddingtemafuncaode:</v>
      </c>
    </row>
    <row r="45" spans="3:6 16251:16253" x14ac:dyDescent="0.25">
      <c r="C45" s="17">
        <f t="shared" si="2"/>
        <v>44</v>
      </c>
      <c r="D45" s="37" t="s">
        <v>115</v>
      </c>
      <c r="E45" s="37" t="s">
        <v>116</v>
      </c>
      <c r="F45" s="9" t="s">
        <v>3</v>
      </c>
      <c r="XAA45">
        <f t="shared" si="0"/>
        <v>1</v>
      </c>
      <c r="XAB45">
        <f>IF(ISNUMBER(XAA45),_xlfn.RANK.EQ(XAA45,$XAA$2:$XAA$254,0)+COUNTIF($XAA$2:XAA45,XAA45)-1,"")</f>
        <v>44</v>
      </c>
      <c r="XAC45" s="11" t="str">
        <f t="shared" si="1"/>
        <v>leiaoexcertoaseguir: foiprojetadoparabloquearumaareanatelaparaexibirumunicoitemgeralmentedeveserusadoparamanterumaunicaexibicaofilhoporquepodeserdificilorganizarasexibicoesfilhodeumamaneiraescalavelparadiferentestamanhosdetelasemqueosfilhossesobreponhamfonte:developersframelayoutdisponivelem:&lt;https://developerandroidcom/reference/android/widget/framelayout&gt;acessoem:28out2019adaptadootrechoapresentadotrazascaracteristicasdeummodelodelayoutconsiderandoessasinformacoeseoconteudoestudadosobreosprincipaismodelosdelayoutpodeseafirmarqueogerenciadorquedisponibilizatodososelementosemformadepilhalevaemconsideracaoqueoultimoelementoinseridoequeseencontranotopoeo:</v>
      </c>
    </row>
    <row r="46" spans="3:6 16251:16253" x14ac:dyDescent="0.25">
      <c r="C46" s="17">
        <f t="shared" si="2"/>
        <v>45</v>
      </c>
      <c r="D46" s="37" t="s">
        <v>117</v>
      </c>
      <c r="E46" s="37" t="s">
        <v>118</v>
      </c>
      <c r="F46" s="9" t="s">
        <v>3</v>
      </c>
      <c r="XAA46">
        <f t="shared" si="0"/>
        <v>1</v>
      </c>
      <c r="XAB46">
        <f>IF(ISNUMBER(XAA46),_xlfn.RANK.EQ(XAA46,$XAA$2:$XAA$254,0)+COUNTIF($XAA$2:XAA46,XAA46)-1,"")</f>
        <v>45</v>
      </c>
      <c r="XAC46" s="11" t="str">
        <f t="shared" si="1"/>
        <v>leiaoexcertoaseguir:cadasubclasselayoutparamsapresentaasuapropriasintaxeparadefinirvalorescadaelementodenominadodefilhodevedefinirlayoutparamsapropriadosparaopaiemborapossatambemdefinirdiferenteslayoutparamsparaospropriosfilhosfonte:developerslayoutsdisponivelem:&lt;https://developerandroidcom/guide/topics/ui/declaringlayout?hl=ptbr&gt;acessoem:28out2019 considerandoessasinformacoeseoconteudoestudadosobreosprincipaismodelosdelayoutpodeseafirmarqueosrequisitosbasicosqueajudamnasconfiguracoeseimplementacoesdoslayoutssao:</v>
      </c>
    </row>
    <row r="47" spans="3:6 16251:16253" x14ac:dyDescent="0.25">
      <c r="C47" s="17">
        <f t="shared" si="2"/>
        <v>46</v>
      </c>
      <c r="D47" s="37" t="s">
        <v>119</v>
      </c>
      <c r="E47" s="37" t="s">
        <v>120</v>
      </c>
      <c r="F47" s="9" t="s">
        <v>3</v>
      </c>
      <c r="XAA47">
        <f t="shared" si="0"/>
        <v>1</v>
      </c>
      <c r="XAB47">
        <f>IF(ISNUMBER(XAA47),_xlfn.RANK.EQ(XAA47,$XAA$2:$XAA$254,0)+COUNTIF($XAA$2:XAA47,XAA47)-1,"")</f>
        <v>46</v>
      </c>
      <c r="XAC47" s="11" t="str">
        <f t="shared" si="1"/>
        <v>leiaoexcertoaseguir: intentseintentfilterstrazemoparadigmacliqueaquiparaonucleodousoedesenvolvimentodeaplicativosmoveisparaaplataformaandroid[]umintentfiltereumadeclaracaodecapacidadeeinteresseemoferecerassistenciaaquelesemnecessidadeelepodesergenericoouespecificoemrelacaoaquaisintentseleofereceseuservicofonte:ablesonwetal androidemacaoriodejaneiro:elsevier2012considerandoessasinformacoeseoconteudoestudadosobreointentdedesenvolvimentoandroidpodeseafirmarqueointentfilterindicaumcampodenominadocategoriaquesecaracterizapor:</v>
      </c>
    </row>
    <row r="48" spans="3:6 16251:16253" x14ac:dyDescent="0.25">
      <c r="C48" s="17">
        <f t="shared" si="2"/>
        <v>47</v>
      </c>
      <c r="D48" s="37" t="s">
        <v>121</v>
      </c>
      <c r="E48" s="37" t="s">
        <v>122</v>
      </c>
      <c r="F48" s="9" t="s">
        <v>3</v>
      </c>
      <c r="XAA48">
        <f t="shared" si="0"/>
        <v>1</v>
      </c>
      <c r="XAB48">
        <f>IF(ISNUMBER(XAA48),_xlfn.RANK.EQ(XAA48,$XAA$2:$XAA$254,0)+COUNTIF($XAA$2:XAA48,XAA48)-1,"")</f>
        <v>47</v>
      </c>
      <c r="XAC48" s="11" t="str">
        <f t="shared" si="1"/>
        <v>leiaoexcertoaseguir:seumaimagemdizmaisquemilpalavrasentaoumaanimacaodevedizermuitomaisoandroidsuportavariosmetodosparacriaranimacaosejapormeiodexmlporanimacoesquadroaquadroxmldoandroidusandoaapigraphicsdoandroidoupormeiodosuportedoandroidparaopenglesfonte:ablesonwetal androidemacaoriodejaneiro:elsevier2012otrechoapresentadotratadasfuncionalidadesdaapigraphicsdoandroidconsiderandoessasinformacoeseoconteudoestudadosobreelementosgraficoseanimacoescomaapigraphicsdoandroidanaliseoscomponentesdisponiveisaseguireassocieoscomsuasrespectivascaracteristicas1pacoteandroidgraphics2shapedrawable3rectshape4metodosetbounds  atravesdeleserapossivelacrescentarformasaodesenhocriado estabeleceolimitenoqualousuarioiradesenharoretanguloutilizandoometododraw metodoondeepossivelestabelecerformasparaodesenhoacomecarpelocodigodisponibilizatodasasclassesdenivelmaisbaixonecessariasparaqueousuariodesenvolvaelementosgraficosagoraassinaleaalternativaqueapresentaasequenciacorreta:</v>
      </c>
    </row>
    <row r="49" spans="3:6 16251:16253" x14ac:dyDescent="0.25">
      <c r="C49" s="17">
        <f t="shared" si="2"/>
        <v>48</v>
      </c>
      <c r="D49" s="37" t="s">
        <v>123</v>
      </c>
      <c r="E49" s="37" t="s">
        <v>124</v>
      </c>
      <c r="F49" s="9" t="s">
        <v>3</v>
      </c>
      <c r="XAA49">
        <f t="shared" si="0"/>
        <v>1</v>
      </c>
      <c r="XAB49">
        <f>IF(ISNUMBER(XAA49),_xlfn.RANK.EQ(XAA49,$XAA$2:$XAA$254,0)+COUNTIF($XAA$2:XAA49,XAA49)-1,"")</f>
        <v>48</v>
      </c>
      <c r="XAC49" s="11" t="str">
        <f t="shared" si="1"/>
        <v>leiaotrechoaseguir: osintentsexplicitosespecificamqualaplicativoatenderaaointentfornecendoonomedopacotedoaplicativodedestinoouonomedaclassedeumcomponentetotalmentequalificadonormalmenteusaseumintentexplicitoparainiciarumcomponentenoproprioaplicativoporquesesabeonomedeclassedaatividadeoudoservicoquesequeriniciarfonte:developersintentsefiltrosdeintentsdisponivelem: &lt;https://developerandroidcom/guide/components/intentsfilters?hl=ptbr&gt;acessoem:28out2019otrechoapresentadorefereseaumdosmodelosdeintentsutilizadonoandroidconsiderandoessasinformacoeseoconteudoestudadosobreointentdedesenvolvimentoandroidpodeseafirmarqueumintentserefere:</v>
      </c>
    </row>
    <row r="50" spans="3:6 16251:16253" x14ac:dyDescent="0.25">
      <c r="C50" s="17">
        <f t="shared" si="2"/>
        <v>49</v>
      </c>
      <c r="D50" s="37" t="s">
        <v>125</v>
      </c>
      <c r="E50" s="37" t="s">
        <v>126</v>
      </c>
      <c r="F50" s="9" t="s">
        <v>3</v>
      </c>
      <c r="XAA50">
        <f t="shared" si="0"/>
        <v>1</v>
      </c>
      <c r="XAB50">
        <f>IF(ISNUMBER(XAA50),_xlfn.RANK.EQ(XAA50,$XAA$2:$XAA$254,0)+COUNTIF($XAA$2:XAA50,XAA50)-1,"")</f>
        <v>49</v>
      </c>
      <c r="XAC50" s="11" t="str">
        <f t="shared" si="1"/>
        <v>leiaoexcertoaseguir:naoedificilimaginarqueumaexperienciadeusuarioabsolutamenteunicaepossivelcomoandroidporcausadavariedadedeactivityscomintentfiltersespecificosinstaladosemcadadispositivosuaarquiteturaepassiveldeatualizacaodediversosaspectosdeumainstalacaoandroidparafornecerfuncionalidadesepersonalizacaosofisticadasfonte:ablesonwetal androidemacaoriodejaneiro:elsevier2012considerandoessasinformacoeseoconteudoestudadosobreosprincipaismodelosdecomponentesandroidpodeseafirmarqueousodeumaactivityestarelacionadoa:</v>
      </c>
    </row>
    <row r="51" spans="3:6 16251:16253" x14ac:dyDescent="0.25">
      <c r="C51" s="17">
        <f t="shared" si="2"/>
        <v>50</v>
      </c>
      <c r="D51" s="37" t="s">
        <v>127</v>
      </c>
      <c r="E51" s="37" t="s">
        <v>128</v>
      </c>
      <c r="F51" s="9" t="s">
        <v>3</v>
      </c>
      <c r="XAA51">
        <f t="shared" si="0"/>
        <v>1</v>
      </c>
      <c r="XAB51">
        <f>IF(ISNUMBER(XAA51),_xlfn.RANK.EQ(XAA51,$XAA$2:$XAA$254,0)+COUNTIF($XAA$2:XAA51,XAA51)-1,"")</f>
        <v>50</v>
      </c>
      <c r="XAC51" s="11" t="str">
        <f t="shared" si="1"/>
        <v>leiaoexcertoaseguir:sevocejatrabalhoucomopenglacharaaimplementacaodoopenglesdoandroidrazoavelmentesimplesvocedeveselembrarnoentantoqueostelefonescelularestabletseoutrosdispositivosmoveisnaotemopoderdeprocessamentograficodeumdesktopfonte:ablesonwetal androidemacaoriodejaneiro:elsevier2012otrechoapresentadotratadascaracteristicasligadasaousodaopenglesuasimplicidadedeusoconsiderandoessasinformacoeseoconteudoestudadosobreaapresentacaodaopenglerenderscriptdoandroidpodeseafirmarqueaopenglese:</v>
      </c>
    </row>
    <row r="52" spans="3:6 16251:16253" x14ac:dyDescent="0.25">
      <c r="C52" s="17">
        <f t="shared" si="2"/>
        <v>51</v>
      </c>
      <c r="D52" s="37" t="s">
        <v>129</v>
      </c>
      <c r="E52" s="37" t="s">
        <v>130</v>
      </c>
      <c r="F52" s="9" t="s">
        <v>3</v>
      </c>
      <c r="XAA52">
        <f t="shared" si="0"/>
        <v>1</v>
      </c>
      <c r="XAB52">
        <f>IF(ISNUMBER(XAA52),_xlfn.RANK.EQ(XAA52,$XAA$2:$XAA$254,0)+COUNTIF($XAA$2:XAA52,XAA52)-1,"")</f>
        <v>51</v>
      </c>
      <c r="XAC52" s="11" t="str">
        <f t="shared" si="1"/>
        <v>leiaoexcertoaseguir:umcontentproviderpodeusarqualquerformademecanismodearmazenamentodedadosdisponivelnaplataformaandroidincluindoarquivosbancosdedadossqliteoumesmoummapahashdememoriasenaofornecessariaapersistenciadosdadosocontentprovidereumacamadadedadosqueforneceabstracaodedadosparaseusclientesecentralizaasrotinasdearmazenamentoerecuperacaoemumunicolocalfonte:ablesonwetal androidemacaoriodejaneiro:elsevier2012otrechoapresentadotratadasfuncionalidadesdeumcontentprovideresuasaplicacoesdemaneirageralconsiderandoessasinformacoeseoconteudoestudadosobreosprincipaismodelosdecomponentesandroidpodeseafirmarqueocontentprovidertemcomoumdeseusaspectos:</v>
      </c>
    </row>
    <row r="53" spans="3:6 16251:16253" x14ac:dyDescent="0.25">
      <c r="C53" s="17">
        <f t="shared" si="2"/>
        <v>52</v>
      </c>
      <c r="D53" s="37" t="s">
        <v>131</v>
      </c>
      <c r="E53" s="37" t="s">
        <v>94</v>
      </c>
      <c r="F53" s="9" t="s">
        <v>3</v>
      </c>
      <c r="XAA53">
        <f t="shared" si="0"/>
        <v>1</v>
      </c>
      <c r="XAB53">
        <f>IF(ISNUMBER(XAA53),_xlfn.RANK.EQ(XAA53,$XAA$2:$XAA$254,0)+COUNTIF($XAA$2:XAA53,XAA53)-1,"")</f>
        <v>52</v>
      </c>
      <c r="XAC53" s="11" t="str">
        <f t="shared" si="1"/>
        <v>leiaoexcertoaseguir: aconhecidaclasseintenteusadaparaativarbroadcastreceiversosparametrosseraodiferentesdependendodesevoceestainiciandoumaactivityumserviceouumbroadcastreceivermaseamesmaclasseintentusadaportodaaplataformaandroidfonte:ablesonwetal androidemacaoriodejaneiro:elsevier2012otrechoapresentadotratadousodeumaintentnosmodelosquecompoemumandroidconsiderandoessasinformacoeseoconteudoestudadosobreosprincipaismodelosdecomponentesandroidanaliseosmodelosdisponiveisaseguireassocieoscomsuasrespectivascaracteristicas1activity2service3broadcastreceiver4contentprovider podeserutilizadodentrodeumabaseperiodicaligadoaumalarmedesistemaeposteriormenteserencerradoquandoaatividadeforexecutadademaneiracompletaeutilizadocasooaplicativodesejereceber/efetuarchamadastelefonicasoumensagens modeloqueapresentainterfacesdousuarioreplicandosituacoesiniciadaspelosistemaoupelousuario utilizadodentreoutrosaspectosquandoumelementodoaplicativonecessitadedadosprovenientesdeoutrosaplicativosagoraassinaleaalternativaqueapresentaasequenciacorreta:</v>
      </c>
    </row>
    <row r="54" spans="3:6 16251:16253" x14ac:dyDescent="0.25">
      <c r="C54" s="17">
        <f t="shared" si="2"/>
        <v>53</v>
      </c>
      <c r="D54" s="37" t="s">
        <v>132</v>
      </c>
      <c r="E54" s="37" t="s">
        <v>133</v>
      </c>
      <c r="F54" s="9" t="s">
        <v>3</v>
      </c>
      <c r="XAA54">
        <f t="shared" si="0"/>
        <v>1</v>
      </c>
      <c r="XAB54">
        <f>IF(ISNUMBER(XAA54),_xlfn.RANK.EQ(XAA54,$XAA$2:$XAA$254,0)+COUNTIF($XAA$2:XAA54,XAA54)-1,"")</f>
        <v>53</v>
      </c>
      <c r="XAC54" s="11" t="str">
        <f t="shared" si="1"/>
        <v>leiaoexcertoaseguir:aplicativosparafazerslidespermitemcriarapresentacoesprofissionaispelocelularsemdependerdeumcomputadorosusuariospodemeditaraspaginasindividualmenteselecionartemplatesprontosmudarolayouteinserirtextosfotoseelementosgraficosfonte:fernandesraplicativoparafazerslide:vejamelhoresappsparabaixarnocelular2019disponivelem:&lt;https://wwwtechtudocombr/listas/2019/02/aplicativoparafazerslidevejamelhoresappsparabaixarnocelularghtml&gt;acessoem:28out2019considerandoessasinformacoeseoconteudoestudadosobreosgerenciadoresdelayoutpodeseafirmarqueoscomponentesgraficossaoderivados:</v>
      </c>
    </row>
    <row r="55" spans="3:6 16251:16253" x14ac:dyDescent="0.25">
      <c r="C55" s="17">
        <f t="shared" si="2"/>
        <v>54</v>
      </c>
      <c r="D55" s="37" t="s">
        <v>134</v>
      </c>
      <c r="E55" s="37" t="s">
        <v>135</v>
      </c>
      <c r="F55" s="9" t="s">
        <v>3</v>
      </c>
      <c r="XAA55">
        <f t="shared" si="0"/>
        <v>1</v>
      </c>
      <c r="XAB55">
        <f>IF(ISNUMBER(XAA55),_xlfn.RANK.EQ(XAA55,$XAA$2:$XAA$254,0)+COUNTIF($XAA$2:XAA55,XAA55)-1,"")</f>
        <v>54</v>
      </c>
      <c r="XAC55" s="11" t="str">
        <f t="shared" si="1"/>
        <v>leiaoexcertoaseguir:emboraoandroidoferecasuporteparaaceleracaodehardwarealgunsaparelhosedispositivosqueexecutamoandroidtiveramproblemasdedesempenhocomopenglesnopassadoantesdeembarcaremumprojetousandoopenglconsidereohardwarealvoefacatestesexaustivosparasecertificardequevocenaosobrecarregueoseuhardwarecomelementosgraficosopenglfonte:ablesonwetal androidemacaoriodejaneiro:elsevier2012otrechoapresentadotratadaslimitacoesdoopenglesocorridasnopassadoesuaspossiveissolucoesconsiderandoessasinformacoeseoconteudoestudadosobreaapresentacaodaopenglerenderscriptdoandroidpodeseafirmarqueaopenglesfoidesenvolvida:</v>
      </c>
    </row>
    <row r="56" spans="3:6 16251:16253" x14ac:dyDescent="0.25">
      <c r="C56" s="17">
        <f t="shared" si="2"/>
        <v>55</v>
      </c>
      <c r="D56" s="37" t="s">
        <v>136</v>
      </c>
      <c r="E56" s="37" t="s">
        <v>137</v>
      </c>
      <c r="F56" s="9" t="s">
        <v>3</v>
      </c>
      <c r="XAA56">
        <f t="shared" si="0"/>
        <v>1</v>
      </c>
      <c r="XAB56">
        <f>IF(ISNUMBER(XAA56),_xlfn.RANK.EQ(XAA56,$XAA$2:$XAA$254,0)+COUNTIF($XAA$2:XAA56,XAA56)-1,"")</f>
        <v>55</v>
      </c>
      <c r="XAC56" s="11" t="str">
        <f t="shared" si="1"/>
        <v>leiaoexcertoaseguir:aatualizacaodeandroidemacaorepresentanossoesforcomaisrecenteparaproporcionaracoberturadeassuntosimportantesdodesenvolvimentoandroidasaber:aexpansaoparaoespacodotabletcomoandroid3xbemcomoosavancosdoselementosgraficosedemidiamoveiscomoorenderscriptfonte:ablesonwetal androidemacaoriodejaneiro:elsevier2012considerandoessasinformacoeseoconteudoestudadosobreaapresentacaodaopenglerenderscriptdoandroidpodeseafirmarqueorenderscripttemoobjetivode:</v>
      </c>
    </row>
    <row r="57" spans="3:6 16251:16253" x14ac:dyDescent="0.25">
      <c r="C57" s="17">
        <f t="shared" si="2"/>
        <v>56</v>
      </c>
      <c r="D57" s="37" t="s">
        <v>138</v>
      </c>
      <c r="E57" s="37" t="s">
        <v>139</v>
      </c>
      <c r="F57" s="9" t="s">
        <v>3</v>
      </c>
      <c r="XAA57">
        <f t="shared" si="0"/>
        <v>1</v>
      </c>
      <c r="XAB57">
        <f>IF(ISNUMBER(XAA57),_xlfn.RANK.EQ(XAA57,$XAA$2:$XAA$254,0)+COUNTIF($XAA$2:XAA57,XAA57)-1,"")</f>
        <v>56</v>
      </c>
      <c r="XAC57" s="11" t="str">
        <f t="shared" si="1"/>
        <v>leiaoexcertoaseguir:[]primeirovocevaicriarumaclassequeusaoandroidparadesenvolverumasuperficieembrancoparadesenharvocevaiusaroscomandosopenglesparadesenharumquadradoeumcuboanimadonasuperficieparacomecarabraumnovoprojetochamadoopenglsquareecrieumaactivitychamadaopenglsquarefonte:ablesonwetal androidemacaoriodejaneiro:elsevier2012otrechoapresentadoevidenciaosprocedimentosparacriarumaclassequeutilizaoandroidconsiderandoessasinformacoeseoconteudoestudadosobreaapresentacaodaopenglerenderscriptdoandroidpodeseafirmarqueosconceitosessenciaisdoopengles:</v>
      </c>
    </row>
    <row r="58" spans="3:6 16251:16253" x14ac:dyDescent="0.25">
      <c r="C58" s="17">
        <f t="shared" si="2"/>
        <v>57</v>
      </c>
      <c r="D58" s="37" t="s">
        <v>140</v>
      </c>
      <c r="E58" s="37" t="s">
        <v>59</v>
      </c>
      <c r="F58" s="9" t="s">
        <v>3</v>
      </c>
      <c r="XAA58">
        <f t="shared" si="0"/>
        <v>1</v>
      </c>
      <c r="XAB58">
        <f>IF(ISNUMBER(XAA58),_xlfn.RANK.EQ(XAA58,$XAA$2:$XAA$254,0)+COUNTIF($XAA$2:XAA58,XAA58)-1,"")</f>
        <v>57</v>
      </c>
      <c r="XAC58" s="11" t="str">
        <f t="shared" si="1"/>
        <v>leiaoexcertoaseguir:osintentspermiteminiciarumaatividadeemoutroaplicativodescrevendoumaacaosimplesquevocegostariadeexecutarcomoexibirummapaoutirarumafotografiaemumobjetointenteleespecificaumaacaoquefornecealgunsdadoscomosquaisrealizaraacao fonte:developersintentsefiltrosdeintentsdisponivelem: &lt;https://developerandroidcom/guide/components/intentscommon?hl=ptbr&gt;acessoem:28out2019considerandoessasinformacoeseoconteudoestudadosobreointentdedesenvolvimentoandroidanaliseasafirmativasaseguireassinalevparaasverdadeirasefparaasfalsas i umintentpodeserdefinidocomoumamanipulacaodedadosvisualizadaanalogicamentecomoumenderecodewebporexemploii arelacaoexistenteentreointenteoseurespectivoaplicativoeestabelecidaporumawebespecifica iii aoapresentarosintentseosintentfilterseprecisodefiniloscomoestruturas inovadorasutilizadasparaauxiliarnanavegacaoeativacaodeumandroidivvariasacoesoriundasdointentsaoestabelecidascomoitenspertencentesaclasseintentnoentantoosresponsaveispelacriacaodeaplicativospodemdesenvolvertambemnovasacoesagoraassinaleaalternativaqueapresentaasequenciacorreta:</v>
      </c>
    </row>
    <row r="59" spans="3:6 16251:16253" x14ac:dyDescent="0.25">
      <c r="C59" s="17">
        <f t="shared" si="2"/>
        <v>58</v>
      </c>
      <c r="D59" s="37" t="s">
        <v>141</v>
      </c>
      <c r="E59" s="37" t="s">
        <v>43</v>
      </c>
      <c r="F59" s="9" t="s">
        <v>3</v>
      </c>
      <c r="XAA59">
        <f t="shared" si="0"/>
        <v>1</v>
      </c>
      <c r="XAB59">
        <f>IF(ISNUMBER(XAA59),_xlfn.RANK.EQ(XAA59,$XAA$2:$XAA$254,0)+COUNTIF($XAA$2:XAA59,XAA59)-1,"")</f>
        <v>58</v>
      </c>
      <c r="XAC59" s="11" t="str">
        <f t="shared" si="1"/>
        <v>leiaoexcertoaseguir: umobjetointentcarregainformacoesqueosistemaandroidusaparadeterminarocomponenteainiciarcomoonomeexatodocomponenteoucategoriadocomponentequedevereceberointentalemdeinformacoesqueocomponentereceptorusapararealizaraacaoadequadamentecomoaacaoatomareosdadosausarfonte:developersintentsefiltrosdeintentsdisponivelem: &lt;https://developerandroidcom/guide/components/intentsfilters?hl=ptbr&gt;acessoem:28out2019considerandoessasinformacoeseoconteudoestudadosobreointentdedesenvolvimentoandroidanaliseasafirmativasaseguirioframeworkapresentaumaelevadainfluenciadentrodeumaplicativoandroidpostoqueaplicaumavisaowebdirecionadaparaosaplicativosiiainterneteextremamentepoderosavistoqueasdistanciasfisicasforamreduzidasaumcliquerealizadopelousuarioestescliquessaodenominadosmainframesiiiasplataformasqueapresentamsituacoesrotineirasdeumdesktopaoutilizarumdispositivomovelsoseraopossiveisseumconjuntoreduzidodeusuariosdomodelohardcoreforutilizadoivousodedispositivosmoveiscommenuslongoseutilizacaodediversosaspectoscostumaapresentarumaboaaceitacaonomercadomovelestacorretoapenasoqueseafirmaem:</v>
      </c>
    </row>
    <row r="60" spans="3:6 16251:16253" x14ac:dyDescent="0.25">
      <c r="C60" s="17">
        <f t="shared" si="2"/>
        <v>59</v>
      </c>
      <c r="D60" s="37" t="s">
        <v>142</v>
      </c>
      <c r="E60" s="37" t="s">
        <v>143</v>
      </c>
      <c r="F60" s="9" t="s">
        <v>3</v>
      </c>
      <c r="XAA60">
        <f t="shared" si="0"/>
        <v>1</v>
      </c>
      <c r="XAB60">
        <f>IF(ISNUMBER(XAA60),_xlfn.RANK.EQ(XAA60,$XAA$2:$XAA$254,0)+COUNTIF($XAA$2:XAA60,XAA60)-1,"")</f>
        <v>59</v>
      </c>
      <c r="XAC60" s="11" t="str">
        <f t="shared" si="1"/>
        <v>leiaoexcertoaseguir:comoandroidvocepodecriardesenhossimplesusandoumaabordagemdearquivoxmlvocepodequererusarxmlporvariosmotivosumarazaobasicaeporqueesimplesdefazeralemdissovaleapenateremmentequeoselementosgraficosdescritosporxmlpodemsermodificadosposteriormentepormeiodeprogramacaoassimoxmlforneceumamaneirasimplesdefazeroprojetoinicialquenaoenecessariamenteestaticofonte:ablesonwetal androidemacaoriodejaneiro:elsevier2012otrechoapresentadotratadosaspectosreferentesaosarquivosxmlconsiderandoessasinformacoeseoconteudoestudadosobreelementosgraficoseanimacoescomaapigraphicsdoandroidpodeseafirmarqueumdosmotivosqueestimulamousodeumarquivoxmlestaassociadoaos:</v>
      </c>
    </row>
    <row r="61" spans="3:6 16251:16253" x14ac:dyDescent="0.25">
      <c r="C61" s="17">
        <f t="shared" si="2"/>
        <v>60</v>
      </c>
      <c r="D61" s="37" t="s">
        <v>144</v>
      </c>
      <c r="E61" s="37" t="s">
        <v>145</v>
      </c>
      <c r="F61" s="9" t="s">
        <v>3</v>
      </c>
      <c r="XAA61">
        <f t="shared" si="0"/>
        <v>1</v>
      </c>
      <c r="XAB61">
        <f>IF(ISNUMBER(XAA61),_xlfn.RANK.EQ(XAA61,$XAA$2:$XAA$254,0)+COUNTIF($XAA$2:XAA61,XAA61)-1,"")</f>
        <v>60</v>
      </c>
      <c r="XAC61" s="11" t="str">
        <f t="shared" si="1"/>
        <v>leiaoexcertoaseguir:umviewgroupeumavisaoespecialquepodeconteroutrasvisoeschamadasdefilhosogrupodevisoeseaclassebaseparalayoutseconteineresdevisoesessaclassetambemdefineaclasseviewgrouplayoutparamsqueservecomoaclassebaseparaosparametrosdelayoutsfonte:developersviewgroupdisponivelem:&lt;https://developerandroidcom/reference/android/view/viewgroup&gt;acessoem:28out2019adaptadootrechoapresentadotrazadefinicaodeumaviewgroupconsiderandoessasinformacoeseoconteudoestudadosobreosgerenciadoresdelayoutpodeseafirmarqueumaviewgroupe:</v>
      </c>
    </row>
    <row r="62" spans="3:6 16251:16253" x14ac:dyDescent="0.25">
      <c r="C62" s="17">
        <f t="shared" si="2"/>
        <v>61</v>
      </c>
      <c r="D62" s="37" t="s">
        <v>146</v>
      </c>
      <c r="E62" s="37" t="s">
        <v>147</v>
      </c>
      <c r="F62" s="9" t="s">
        <v>29</v>
      </c>
      <c r="XAA62">
        <f t="shared" si="0"/>
        <v>1</v>
      </c>
      <c r="XAB62">
        <f>IF(ISNUMBER(XAA62),_xlfn.RANK.EQ(XAA62,$XAA$2:$XAA$254,0)+COUNTIF($XAA$2:XAA62,XAA62)-1,"")</f>
        <v>61</v>
      </c>
      <c r="XAC62" s="11" t="str">
        <f t="shared" si="1"/>
        <v>leiaotextoaseguir:ecomumutilizarmosbibliotecasexternasparaodesenvolvimentodoseuaplicativovocedeveseatentaraofatodequeessasbibliotecasdevemsercompativeiscomocompilesdkversioneotargetsdkversionporpadraooandroidstudioutilizaumabibliotecadecompatibilidadeparaosrecursosdaplataformacasohajaalgumaincompatibilidadenasconfiguracoesogradleonotificarafonte:schefferhudsondesenvolvimentoparadispositivosmoveislondrina:editoraedistribuidoraeducacionalsa2018p19considerandoessasinformacoeseoconteudoestudadosobreolancamentodoapppodeseafirmarqueentreoutrosaspectosousodearquivosdecompilacaodogradle:</v>
      </c>
    </row>
    <row r="63" spans="3:6 16251:16253" x14ac:dyDescent="0.25">
      <c r="C63" s="17">
        <f t="shared" si="2"/>
        <v>62</v>
      </c>
      <c r="D63" s="37" t="s">
        <v>148</v>
      </c>
      <c r="E63" s="37" t="s">
        <v>149</v>
      </c>
      <c r="F63" s="9" t="s">
        <v>29</v>
      </c>
      <c r="XAA63">
        <f t="shared" si="0"/>
        <v>1</v>
      </c>
      <c r="XAB63">
        <f>IF(ISNUMBER(XAA63),_xlfn.RANK.EQ(XAA63,$XAA$2:$XAA$254,0)+COUNTIF($XAA$2:XAA63,XAA63)-1,"")</f>
        <v>62</v>
      </c>
      <c r="XAC63" s="11" t="str">
        <f t="shared" si="1"/>
        <v>leiaotrechoaseguir:umaoutracaracteristicadosbancosdedadossqlequesaomuitorapidoseversateissendoutilizadosemlargaescalaporaplicacoesempresariaisalemdissoopadraosqltambemfacilitabastanteoutrosdesenvolvedoresaconstruireminteracoesfonte:diogenesyurimauserdanielcertificacaosecurity:dapraticaparaoexamesyo401novaterraeditoraedistribuidoraltda2016p77otrechoapresentadotratadascaracteristicasdobancodedadossqlconsiderandoessasinformacoeseoconteudoestudadosobreaaplicacaopraticadosqlitepodeseafirmarqueacodificacaovisualizadanoaplicativopodeseraespecificacaodoconteudotextualqueseencontradoestaticamenteno:</v>
      </c>
    </row>
    <row r="64" spans="3:6 16251:16253" x14ac:dyDescent="0.25">
      <c r="C64" s="17">
        <f t="shared" si="2"/>
        <v>63</v>
      </c>
      <c r="D64" s="37" t="s">
        <v>150</v>
      </c>
      <c r="E64" s="37" t="s">
        <v>94</v>
      </c>
      <c r="F64" s="9" t="s">
        <v>29</v>
      </c>
      <c r="XAA64">
        <f t="shared" ref="XAA64:XAA127" si="3">IF(ISNUMBER(SEARCH($WZS$4,XAC64)),1,"")</f>
        <v>1</v>
      </c>
      <c r="XAB64">
        <f>IF(ISNUMBER(XAA64),_xlfn.RANK.EQ(XAA64,$XAA$2:$XAA$254,0)+COUNTIF($XAA$2:XAA64,XAA64)-1,"")</f>
        <v>63</v>
      </c>
      <c r="XAC64" s="11" t="str">
        <f t="shared" ref="XAC64:XAC127" si="4">IF($I$4="S",SUBSTITUTE(D64," ",""),SUBSTITUTE(SUBSTITUTE(SUBSTITUTE(SUBSTITUTE(SUBSTITUTE(SUBSTITUTE(SUBSTITUTE(SUBSTITUTE(SUBSTITUTE(SUBSTITUTE(SUBSTITUTE(SUBSTITUTE(SUBSTITUTE(SUBSTITUTE(SUBSTITUTE(SUBSTITUTE(SUBSTITUTE(SUBSTITUTE(SUBSTITUTE(SUBSTITUTE(SUBSTITUTE(SUBSTITUTE(SUBSTITUTE(SUBSTITUTE(SUBSTITUTE(SUBSTITUTE(SUBSTITUTE(LOWER(D64)," ",""),"ã","a"),"á","a"),"à","a"),"â","a"),"é","e"),"ê","e"),"í","i"),"ó","o"),"õ","o"),"ô","o"),"ú","u"),"ü","u"),"ç","c"),"“",""),"”",""),",",""),";",""),"(",""),")",""),"+",""),"-",""),".",""),"–",""),"‘",""),"’",""),"+","+"))</f>
        <v>leiaotrechoaseguir:aclassepermiterealizaroperacoescomabasededadossemanecessidadedeinstrucoessqlpararealizaraatualizacaodeumregistroeprecisoapenaschamarometodoupdateinformandoonomedatabelaosvaloreseacondicaofonte:plotzerodrigoprogramacaoparadispositivosmoveis1ªedicaoriodejaneiro:seses2017p110considerandoessasinformacoeseoconteudoestudadosobreaaplicacaopraticadosqliteanaliseasclasseseaspectosreferentesaosqleassocieoscomsuasrespectivascaracteristicas1sqlitedatabase2sqliteopenhelper3arraylist4imageviewnomedanovaclassejavanoprojetoarealizacaodamanipulacaodobancodedadossqliterelacaodinamicaquetrazosarquivosapresentadosnaformadeobjetospertencentesaumaclassecontentvaluespossibilitaaexecucaodeoperacoesbaseadasemdadosnosquaisnaohaanecessidadedeutilizarasinstrucoessqlusodocontrolequepossibilitaainclusaodefigurasdentrodatelaagoraassinaleaalternativaqueapresentaasequenciacorreta:</v>
      </c>
    </row>
    <row r="65" spans="3:6 16251:16253" x14ac:dyDescent="0.25">
      <c r="C65" s="17">
        <f t="shared" ref="C65:C128" si="5">XAB65</f>
        <v>64</v>
      </c>
      <c r="D65" s="37" t="s">
        <v>151</v>
      </c>
      <c r="E65" s="37" t="s">
        <v>152</v>
      </c>
      <c r="F65" s="9" t="s">
        <v>29</v>
      </c>
      <c r="XAA65">
        <f t="shared" si="3"/>
        <v>1</v>
      </c>
      <c r="XAB65">
        <f>IF(ISNUMBER(XAA65),_xlfn.RANK.EQ(XAA65,$XAA$2:$XAA$254,0)+COUNTIF($XAA$2:XAA65,XAA65)-1,"")</f>
        <v>64</v>
      </c>
      <c r="XAC65" s="11" t="str">
        <f t="shared" si="4"/>
        <v>leiaotrechoaseguir:prepararelancarversoesvocepodegerenciaro androidappbundle queeoformatodepublicacaorecomendadopelogoogleplayouosapksdoseuappelancaloemumafaixaespecificacadaversaoeumacombinacaodeumoumaisartefatospreparadoscomoobjetivodelancarumappouumaatualizacaofonte:developerprepararelancarversoesdisponivelem:&lt;https://supportgooglecom/googleplay/androiddeveloper/answer/7159011?hl=ptbr&gt;acessoem:14nov2019considerandoessasinformacoeseoconteudoestudadosobreoenviodeumsoftwareparalojasdeaplicativosdogoogleplaypodeseafirmarqueapreparacaodoaplicativoocorrequando:</v>
      </c>
    </row>
    <row r="66" spans="3:6 16251:16253" x14ac:dyDescent="0.25">
      <c r="C66" s="17">
        <f t="shared" si="5"/>
        <v>65</v>
      </c>
      <c r="D66" s="37" t="s">
        <v>153</v>
      </c>
      <c r="E66" s="37" t="s">
        <v>154</v>
      </c>
      <c r="F66" s="9" t="s">
        <v>29</v>
      </c>
      <c r="XAA66">
        <f t="shared" si="3"/>
        <v>1</v>
      </c>
      <c r="XAB66">
        <f>IF(ISNUMBER(XAA66),_xlfn.RANK.EQ(XAA66,$XAA$2:$XAA$254,0)+COUNTIF($XAA$2:XAA66,XAA66)-1,"")</f>
        <v>65</v>
      </c>
      <c r="XAC66" s="11" t="str">
        <f t="shared" si="4"/>
        <v>leiaotrechoaseguir:umaversaogerenciadadogoogleplayeusadaporempresasefuncionariosparaacessarumecossistemacompletodeappsdetrabalhoeprodutividadeosrecursosdegerenciamentointegradosdoandroidpermitemqueosadministradoresdetigerenciemtotalmenteosdispositivosusadosexclusivamenteparaotrabalhofonte:developerimplantarappsparaempresasusandoogoogleplaydisponivelem:&lt;https://developerandroidcom/distribute/googleplay/work?hl=pt&gt;acessoem:14nov2019otrechoapresentadotrazascaracteristicasdogoogleplayconsiderandoessasinformacoeseoconteudoestudadosobreoenviodeumsoftwareparalojasdeaplicativosdogoogleplaypodeseafirmarqueogoogleplaye:</v>
      </c>
    </row>
    <row r="67" spans="3:6 16251:16253" x14ac:dyDescent="0.25">
      <c r="C67" s="17">
        <f t="shared" si="5"/>
        <v>66</v>
      </c>
      <c r="D67" s="37" t="s">
        <v>155</v>
      </c>
      <c r="E67" s="37" t="s">
        <v>156</v>
      </c>
      <c r="F67" s="9" t="s">
        <v>29</v>
      </c>
      <c r="XAA67">
        <f t="shared" si="3"/>
        <v>1</v>
      </c>
      <c r="XAB67">
        <f>IF(ISNUMBER(XAA67),_xlfn.RANK.EQ(XAA67,$XAA$2:$XAA$254,0)+COUNTIF($XAA$2:XAA67,XAA67)-1,"")</f>
        <v>66</v>
      </c>
      <c r="XAC67" s="11" t="str">
        <f t="shared" si="4"/>
        <v>leiaotrechoaseguir:naplataformaandroidamanipulacaodedadosnobancosqliteefacilitadacomousodaclassesqliteopenhelperemtermosdeprogramacaoaclassesqliteopenhelpereutilizadacomosuperclasseemumahierarquiaepossuidoismetodosabstratosquenecessitamserimplementados:oncreateeonupgradfonte:plotzerodrigoprogramacaoparadispositivosmoveis1ªedicaoriodejaneiro:seses2017p102considerandoessasinformacoeseoconteudoestudadosobreamanipulacaodosdadospodeseafirmaraclassejavaauxiliana:</v>
      </c>
    </row>
    <row r="68" spans="3:6 16251:16253" x14ac:dyDescent="0.25">
      <c r="C68" s="17">
        <f t="shared" si="5"/>
        <v>67</v>
      </c>
      <c r="D68" s="37" t="s">
        <v>157</v>
      </c>
      <c r="E68" s="37" t="s">
        <v>158</v>
      </c>
      <c r="F68" s="9" t="s">
        <v>29</v>
      </c>
      <c r="XAA68">
        <f t="shared" si="3"/>
        <v>1</v>
      </c>
      <c r="XAB68">
        <f>IF(ISNUMBER(XAA68),_xlfn.RANK.EQ(XAA68,$XAA$2:$XAA$254,0)+COUNTIF($XAA$2:XAA68,XAA68)-1,"")</f>
        <v>67</v>
      </c>
      <c r="XAC68" s="11" t="str">
        <f t="shared" si="4"/>
        <v>leiaotrechoaseguir:aotrabalharcomogradleepossivelrealizarajustesparaquepossasergeradoumarquivoapkconformeanecessidadeparaissooarquivobuildgradlemodule:apppermitemodificardiversasconfiguracoesdecompilacaofonte:plotzerodrigoprogramacaoparadispositivosmoveis1ªedicaoriodejaneiro:seses2017otrechoapresentadoevidenciaosaspectosdogradleconsiderandoessasinformacoeseoconteudoestudadosobrelancamentodoapppodeseafirmarqueabuildgradle:</v>
      </c>
    </row>
    <row r="69" spans="3:6 16251:16253" x14ac:dyDescent="0.25">
      <c r="C69" s="17">
        <f t="shared" si="5"/>
        <v>68</v>
      </c>
      <c r="D69" s="37" t="s">
        <v>159</v>
      </c>
      <c r="E69" s="37" t="s">
        <v>160</v>
      </c>
      <c r="F69" s="9" t="s">
        <v>29</v>
      </c>
      <c r="XAA69">
        <f t="shared" si="3"/>
        <v>1</v>
      </c>
      <c r="XAB69">
        <f>IF(ISNUMBER(XAA69),_xlfn.RANK.EQ(XAA69,$XAA$2:$XAA$254,0)+COUNTIF($XAA$2:XAA69,XAA69)-1,"")</f>
        <v>68</v>
      </c>
      <c r="XAC69" s="11" t="str">
        <f t="shared" si="4"/>
        <v>leiaotrechoaseguir: abibliotecaroomforneceacessoaobancodedadosgarantindotodoopoderdaapidosqliteparaqueinformacoespossamserarmazenadasnobancodedadosenecessariomapearosobjetosqueestaorepresentadosemclassesjavaatravesdeanotacoesumaclassepoderepresentarumatabelanomodelorelacionaldearmazenamentodedadosfonte:schefferhudsondesenvolvimentoparadispositivosmoveislondrina:editoraedistribuidoraeducacionalsa2018p171otrechoapresentadorefereseaimportanciadabibliotecaroomdentrodeumaapisqliteconsiderandoessasinformacoeseoconteudoestudadosobreapersistenciaembancodedadossqlitepodemosafirmarqueemumaplataformaandroidepossivel:</v>
      </c>
    </row>
    <row r="70" spans="3:6 16251:16253" x14ac:dyDescent="0.25">
      <c r="C70" s="17">
        <f t="shared" si="5"/>
        <v>69</v>
      </c>
      <c r="D70" s="37" t="s">
        <v>161</v>
      </c>
      <c r="E70" s="37" t="s">
        <v>162</v>
      </c>
      <c r="F70" s="9" t="s">
        <v>29</v>
      </c>
      <c r="XAA70">
        <f t="shared" si="3"/>
        <v>1</v>
      </c>
      <c r="XAB70">
        <f>IF(ISNUMBER(XAA70),_xlfn.RANK.EQ(XAA70,$XAA$2:$XAA$254,0)+COUNTIF($XAA$2:XAA70,XAA70)-1,"")</f>
        <v>69</v>
      </c>
      <c r="XAC70" s="11" t="str">
        <f t="shared" si="4"/>
        <v>leiaotextoaseguir:quandoousuarionavegarparaolinkdedownloadnodispositivoandroidoarquivoseratransferidoeosistemaandroidiniciaraautomaticamenteainstalacaonodispositivonoentantooprocessodeinstalacaosocomecaraautomaticamenteseasconfiguracoesdousuarioestiveremdefinidasparapermitirainstalacaodeappsprovenientesde fontesdesconhecidasfonte:developerpublicarseuappdisponivelem:&lt;https://developerandroidcom/studio/publish?hl=ptbr&gt;acessoem:14nov2019considerandoessasinformacoeseoconteudoestudadosobreosaplicativosdirecionadosaosusuariosesitesepossivelafirmarentreoutrosaspectosqueapublicacaoemoutrasplataformasdepende:</v>
      </c>
    </row>
    <row r="71" spans="3:6 16251:16253" x14ac:dyDescent="0.25">
      <c r="C71" s="17">
        <f t="shared" si="5"/>
        <v>70</v>
      </c>
      <c r="D71" s="37" t="s">
        <v>163</v>
      </c>
      <c r="E71" s="37" t="s">
        <v>164</v>
      </c>
      <c r="F71" s="9" t="s">
        <v>29</v>
      </c>
      <c r="XAA71">
        <f t="shared" si="3"/>
        <v>1</v>
      </c>
      <c r="XAB71">
        <f>IF(ISNUMBER(XAA71),_xlfn.RANK.EQ(XAA71,$XAA$2:$XAA$254,0)+COUNTIF($XAA$2:XAA71,XAA71)-1,"")</f>
        <v>70</v>
      </c>
      <c r="XAC71" s="11" t="str">
        <f t="shared" si="4"/>
        <v>leiaotextoaseguir:paraprepararoaplicativoparalancamentoconfigurecompileetesteumaversaodelancamentoastarefasdeconfiguracaosaoobjetivaseenvolvemtarefasbasicasdelimpezaemodificacaodocodigoqueajudamaotimizaroaplicativofonte:developerprepararparaolancamentodisponivelem:&lt;https://developerandroidcom/studio/publish/preparing?hl=pt&gt;acessoem:14nov2019considerandoessasinformacoeseoconteudoestudadosobreosaplicativosaosusuariosesitespodeseafirmarqueolancamentodeaplicativosutilizandoogoogleplay:</v>
      </c>
    </row>
    <row r="72" spans="3:6 16251:16253" x14ac:dyDescent="0.25">
      <c r="C72" s="17">
        <f t="shared" si="5"/>
        <v>71</v>
      </c>
      <c r="D72" s="37" t="s">
        <v>165</v>
      </c>
      <c r="E72" s="37" t="s">
        <v>43</v>
      </c>
      <c r="F72" s="9" t="s">
        <v>29</v>
      </c>
      <c r="XAA72">
        <f t="shared" si="3"/>
        <v>1</v>
      </c>
      <c r="XAB72">
        <f>IF(ISNUMBER(XAA72),_xlfn.RANK.EQ(XAA72,$XAA$2:$XAA$254,0)+COUNTIF($XAA$2:XAA72,XAA72)-1,"")</f>
        <v>71</v>
      </c>
      <c r="XAC72" s="11" t="str">
        <f t="shared" si="4"/>
        <v>leiaotrechoaseguir:ocompartilhamentodedadoserealizadoapenasquandodesejadoepossibilitaporexemploquedadosarmazenadosemumarquivopossamserconsultadosoumodificadosporoutrosaplicativosesserecursotambempodeserempregadoembasededadoscriadasnobancodedadossqliteouemtermosgeraisemqualquertipodedadosarmazenadodemaneirapersistentefonte:plotzerodrigoprogramacaoparadispositivosmoveis1ªedicaoriodejaneiro:seses2017p31considerandoessasinformacoeseoconteudoestudadosobreosfundamentosdosqlanaliseasafirmativasaseguiriosqlitepodeservistocomumimportanteinstrumentoparamanipulardadosestruturadosiiosqliteecompativelcomumnumerolimitadodelinguagensdeprogramacaoesuasinstrucoessaobaseadasnopadraojavaiiiabibliotecaroomeutilizadaparasolucionarproblemasapresentadospelosqliteetemoobjetivodetrabalharcomdadosestruturadosivasbasesdedadosdesenvolvidascomosqlitesaodisponibilizadaspublicamenteatodososaplicativosandroidestacorretoapenasoqueseafirmaem:</v>
      </c>
    </row>
    <row r="73" spans="3:6 16251:16253" x14ac:dyDescent="0.25">
      <c r="C73" s="17">
        <f t="shared" si="5"/>
        <v>72</v>
      </c>
      <c r="D73" s="37" t="s">
        <v>166</v>
      </c>
      <c r="E73" s="37" t="s">
        <v>167</v>
      </c>
      <c r="F73" s="9" t="s">
        <v>29</v>
      </c>
      <c r="XAA73">
        <f t="shared" si="3"/>
        <v>1</v>
      </c>
      <c r="XAB73">
        <f>IF(ISNUMBER(XAA73),_xlfn.RANK.EQ(XAA73,$XAA$2:$XAA$254,0)+COUNTIF($XAA$2:XAA73,XAA73)-1,"")</f>
        <v>72</v>
      </c>
      <c r="XAC73" s="11" t="str">
        <f t="shared" si="4"/>
        <v>leiaotextoaseguir:sevocefornecerumnumerodeversaomaisrecentequeaversaodebancodedadosqueestaarmazenadanodispositivoometodoonupgradededatabaseopenhelpervaiserchamadoparamigrarosdadosparaanovaversaofonte:deitelpauldeitelharveywardalexanderandroid6paraprogramadores:umaabordagembaseadaemaplicativosterceiraedicaoportoalegre:boockman2016p365considerandoessasinformacoeseoconteudoestudadosobreamanipulacaodedadospodeseafirmarqueometodoonupgradesecaracterizapor:</v>
      </c>
    </row>
    <row r="74" spans="3:6 16251:16253" x14ac:dyDescent="0.25">
      <c r="C74" s="17">
        <f t="shared" si="5"/>
        <v>73</v>
      </c>
      <c r="D74" s="37" t="s">
        <v>168</v>
      </c>
      <c r="E74" s="37" t="s">
        <v>169</v>
      </c>
      <c r="F74" s="9" t="s">
        <v>29</v>
      </c>
      <c r="XAA74">
        <f t="shared" si="3"/>
        <v>1</v>
      </c>
      <c r="XAB74">
        <f>IF(ISNUMBER(XAA74),_xlfn.RANK.EQ(XAA74,$XAA$2:$XAA$254,0)+COUNTIF($XAA$2:XAA74,XAA74)-1,"")</f>
        <v>73</v>
      </c>
      <c r="XAC74" s="11" t="str">
        <f t="shared" si="4"/>
        <v>leiaotextoaseguir:quandoousuariotentainstalarumappdesconhecidoemumdispositivocomandroid711ouversoesanterioresosistemapodemostrarumacaixadedialogoperguntandoseelequerpermitirqueapenasumappdesconhecidoespecificosejainstaladoemquasetodososcasosrecomendamosqueousuariopermitaainstalacaodeapenasumappdesconhecidoporvezcasoessaopcaoestejadisponivelfonte:developerpublicarseuappdisponivelem:&lt;https://developerandroidcom/studio/publish?hl=ptbr&gt;acessoem:14nov2019considerandoessasinformacoeseoconteudoestudadosobreosappdesconhecidospodeseafirmarqueoandroidsecaracterizapor:</v>
      </c>
    </row>
    <row r="75" spans="3:6 16251:16253" x14ac:dyDescent="0.25">
      <c r="C75" s="17">
        <f t="shared" si="5"/>
        <v>74</v>
      </c>
      <c r="D75" s="37" t="s">
        <v>170</v>
      </c>
      <c r="E75" s="37" t="s">
        <v>171</v>
      </c>
      <c r="F75" s="9" t="s">
        <v>29</v>
      </c>
      <c r="XAA75">
        <f t="shared" si="3"/>
        <v>1</v>
      </c>
      <c r="XAB75">
        <f>IF(ISNUMBER(XAA75),_xlfn.RANK.EQ(XAA75,$XAA$2:$XAA$254,0)+COUNTIF($XAA$2:XAA75,XAA75)-1,"")</f>
        <v>74</v>
      </c>
      <c r="XAC75" s="11" t="str">
        <f t="shared" si="4"/>
        <v>leiaotrechoaseguir:umrecursofoiadicionadoao androidnougat paradefinirowebviewdochromecomopreferenciaedesativaro appandroidsystemwebview porpadraoesserecursoajudouosusuariosaominimizaraareaocupadaporrecursosdoandroidsystemwebviewquandonaoestavaemusoenquantoaindapermitiaqueosusuariosdesativassemochromeevoltassemaumwebviewquenaoedochromefonte:androidenterpriseproblemacomowebviewnoperfildetrabalhodisponivelem:&lt;https://supportgooglecom/work/android/answer/7506908?hl=ptbr&gt;acessoem:14nov2019considerandoessasinformacoeseoconteudoestudadosobreosaplicativosdesconhecidospodeseafirmarqueosistemanoqualepossivelrealizaraativacaodainstalacaodeaplicativosdentrodeumafonteexclusivaeo:</v>
      </c>
    </row>
    <row r="76" spans="3:6 16251:16253" x14ac:dyDescent="0.25">
      <c r="C76" s="17">
        <f t="shared" si="5"/>
        <v>75</v>
      </c>
      <c r="D76" s="37" t="s">
        <v>172</v>
      </c>
      <c r="E76" s="37" t="s">
        <v>94</v>
      </c>
      <c r="F76" s="9" t="s">
        <v>29</v>
      </c>
      <c r="XAA76">
        <f t="shared" si="3"/>
        <v>1</v>
      </c>
      <c r="XAB76">
        <f>IF(ISNUMBER(XAA76),_xlfn.RANK.EQ(XAA76,$XAA$2:$XAA$254,0)+COUNTIF($XAA$2:XAA76,XAA76)-1,"")</f>
        <v>75</v>
      </c>
      <c r="XAC76" s="11" t="str">
        <f t="shared" si="4"/>
        <v>leiaotextoaseguir:asinformacoesdecontatosaoarmazenadasemumbancodesqliteosqliteeummecanismodebancodedadosmaisamplamentedistribuidosdomundocadafragmentodesteaplicativointeragecomumbancodedadossqliteporintermediodaclasseunitariafonte:deitelpauldeitelharveydeitelabbeyandroidcomoprogramarsegundaedicaoportoalegre:boockman2015p265considerandoessasinformacoeseoconteudoestudadosobreamanipulacaodosdadosanaliseasclassesmetodoseatributosutilizadosnosqliteeassocieoscomsuasrespectivascaracteristicas1classesqliteopenhelper2atributodatabase_name3atributodatabase_version4metodooncreateserveparadeterminaranomenclaturaatribuidaaumarquivodobancodedadosqueseradesenvolvidodentrodosdispositivoseresponsavelporindicarqualotipodaestruturadobancodedadosqueserausadapodeserusadacomoumaclasseespecialdentrodeumahierarquiaenormalmenteapresentametodosabstratosaseremimplementadospodeserusadoparadesenvolverumnovobancodedadosdentrodeumdispositivoagoraassinaleaalternativaqueapresentaasequenciacorreta:</v>
      </c>
    </row>
    <row r="77" spans="3:6 16251:16253" x14ac:dyDescent="0.25">
      <c r="C77" s="17">
        <f t="shared" si="5"/>
        <v>76</v>
      </c>
      <c r="D77" s="37" t="s">
        <v>173</v>
      </c>
      <c r="E77" s="37" t="s">
        <v>94</v>
      </c>
      <c r="F77" s="9" t="s">
        <v>29</v>
      </c>
      <c r="XAA77">
        <f t="shared" si="3"/>
        <v>1</v>
      </c>
      <c r="XAB77">
        <f>IF(ISNUMBER(XAA77),_xlfn.RANK.EQ(XAA77,$XAA$2:$XAA$254,0)+COUNTIF($XAA$2:XAA77,XAA77)-1,"")</f>
        <v>76</v>
      </c>
      <c r="XAC77" s="11" t="str">
        <f t="shared" si="4"/>
        <v>leiaotrechoaseguir:osqliteeumbancodedadosrelacionalassimparaoarmazenamentopersistentededadosenecessariodefinirtabelaseseusrespectivoscamposobancodedadossqliteofereceaosdesenvolvedoresdeaplicativosorecursodearmazenamentopersistentededadosfonte:plotzerodrigoprogramacaoparadispositivosmoveis1ªedicaoriodejaneiro:seses2017p101considerandoessasinformacoeseoconteudoestudadosobreosfundamentosdosqlrelacioneostiposdedadosdispostosaseguircomassuasrespectivascaracteristicas:1null2integer3real4textresponsavelpeloarmazenamentodenumerosinteirosresponsavelpelamanipulacaodevalorespontoflutuanteresponsavelpelainsercaodevaloresnulosresponsavelpelainsercaodedadostextuaisagoraassinaleaalternativaqueapresentaasequenciacorreta:</v>
      </c>
    </row>
    <row r="78" spans="3:6 16251:16253" x14ac:dyDescent="0.25">
      <c r="C78" s="17">
        <f t="shared" si="5"/>
        <v>77</v>
      </c>
      <c r="D78" s="37" t="s">
        <v>174</v>
      </c>
      <c r="E78" s="37" t="s">
        <v>175</v>
      </c>
      <c r="F78" s="9" t="s">
        <v>29</v>
      </c>
      <c r="XAA78">
        <f t="shared" si="3"/>
        <v>1</v>
      </c>
      <c r="XAB78">
        <f>IF(ISNUMBER(XAA78),_xlfn.RANK.EQ(XAA78,$XAA$2:$XAA$254,0)+COUNTIF($XAA$2:XAA78,XAA78)-1,"")</f>
        <v>77</v>
      </c>
      <c r="XAC78" s="11" t="str">
        <f t="shared" si="4"/>
        <v>leiaoexcertoaseguir:emuitoimportanteentenderquevocesoprecisacriarumprovedordeconteudocasotenhanecessidadedeexporinformacoesparaoutrasaplicacoessevoceprecisardeumbancodedadosprivadoquesejaacessadoapenaspeloseuaplicativoutilizeumbancodedadossqlitefonte:lechetaricardorgoogleandroid4ªedicao:aprendaacriaraplicacoesparadispositivosmoveiscomoandroidsdknovateceditora2015p810considerandoessasinformacoeseoconteudoestudadosobreaaplicacaopraticadosqlitepodeseafirmarqueatrocadoiconepertencenteaumaplicativoandroidimplicanaalteracaodoarquivodenominado:</v>
      </c>
    </row>
    <row r="79" spans="3:6 16251:16253" x14ac:dyDescent="0.25">
      <c r="C79" s="17">
        <f t="shared" si="5"/>
        <v>78</v>
      </c>
      <c r="D79" s="37" t="s">
        <v>176</v>
      </c>
      <c r="E79" s="37" t="s">
        <v>177</v>
      </c>
      <c r="F79" s="9" t="s">
        <v>29</v>
      </c>
      <c r="XAA79">
        <f t="shared" si="3"/>
        <v>1</v>
      </c>
      <c r="XAB79">
        <f>IF(ISNUMBER(XAA79),_xlfn.RANK.EQ(XAA79,$XAA$2:$XAA$254,0)+COUNTIF($XAA$2:XAA79,XAA79)-1,"")</f>
        <v>78</v>
      </c>
      <c r="XAC79" s="11" t="str">
        <f t="shared" si="4"/>
        <v>leiaotrechoaseguir:assimonomenoatributo package domanifestoprecisasemprecorresponderaonomedopacotebasicodoprojetoemquevocemantemasatividadeseorestantedocodigodoaplicativoeclaroquevocepodeteroutrossubpacotesnoprojetomasessesarquivosprecisamimportaraclasse rjava usandoonamespacedoatributo packagefonte:developervisaogeraldomanifestodoaplicativodisponivelem:&lt;https://supportgooglecom/googleplay/androiddeveloper/answer/7159011?hl=ptbr&gt;acessoem:14nov2019considerandoessasinformacoeseoconteudoestudadosobreolancamentodoaplicativoepossivelafirmarqueoatributopackagedatag&lt;manifest&gt;funciona:</v>
      </c>
    </row>
    <row r="80" spans="3:6 16251:16253" x14ac:dyDescent="0.25">
      <c r="C80" s="17">
        <f t="shared" si="5"/>
        <v>79</v>
      </c>
      <c r="D80" s="37" t="s">
        <v>178</v>
      </c>
      <c r="E80" s="37" t="s">
        <v>179</v>
      </c>
      <c r="F80" s="9" t="s">
        <v>29</v>
      </c>
      <c r="XAA80">
        <f t="shared" si="3"/>
        <v>1</v>
      </c>
      <c r="XAB80">
        <f>IF(ISNUMBER(XAA80),_xlfn.RANK.EQ(XAA80,$XAA$2:$XAA$254,0)+COUNTIF($XAA$2:XAA80,XAA80)-1,"")</f>
        <v>79</v>
      </c>
      <c r="XAC80" s="11" t="str">
        <f t="shared" si="4"/>
        <v>leiaotrechoaseguir:tambemepossivelacessaroservicopormeiodoaplicativoplaystoredisponivelemdispositivosmoveiscomandroidogoogleplaylistaosaplicativosmaisbaixadosnoservicoentreelesnetflixespotifymusiccommaisdecemmilhoesdeinstalacoesewhatsappmessengereinstagramcommaisde1bilhaodeinstalacoesfonte:schefferhudsondesenvolvimentoparadispositivosmoveislondrina:editoraedistribuidoraeducacionalsa2018p10considerandoessasinformacoeseoconteudoestudadosobreoenviodeumsoftwareparalojasdeaplicativosdogoogleplayepossivelafirmarqueparapublicarumaplicativonogoogleplayepreciso:</v>
      </c>
    </row>
    <row r="81" spans="3:6 16251:16253" x14ac:dyDescent="0.25">
      <c r="C81" s="17">
        <f t="shared" si="5"/>
        <v>80</v>
      </c>
      <c r="D81" s="37" t="s">
        <v>180</v>
      </c>
      <c r="E81" s="37" t="s">
        <v>181</v>
      </c>
      <c r="F81" s="9" t="s">
        <v>29</v>
      </c>
      <c r="XAA81">
        <f t="shared" si="3"/>
        <v>1</v>
      </c>
      <c r="XAB81">
        <f>IF(ISNUMBER(XAA81),_xlfn.RANK.EQ(XAA81,$XAA$2:$XAA$254,0)+COUNTIF($XAA$2:XAA81,XAA81)-1,"")</f>
        <v>80</v>
      </c>
      <c r="XAC81" s="11" t="str">
        <f t="shared" si="4"/>
        <v>leiaotrechoaseguir:osregistrosdevemseragrupadosemtabelaseoconjuntodetabelasrepresentaobancodedadosatravesdestemodeloepossivelrelacionarosdadosarmazenadosousejaepossivelrelacionarporexemploumatabeladeclientecomumadecomprasfacilitandoaconsultadequaiscomprasforamrealizadaspordeterminadoclientefonte:schefferhudsondesenvolvimentoparadispositivosmoveislondrina:editoraedistribuidoraeducacionalsa2018p155considerandoessasinformacoeseoconteudoestudadosobreosfundamentosdosqlpodeseafirmarqueaodesenvolverumatabelaenecessario:</v>
      </c>
    </row>
    <row r="82" spans="3:6 16251:16253" x14ac:dyDescent="0.25">
      <c r="C82" s="17" t="str">
        <f t="shared" si="5"/>
        <v/>
      </c>
      <c r="D82" s="3"/>
      <c r="E82" s="6"/>
      <c r="F82" s="9"/>
      <c r="XAA82" t="str">
        <f t="shared" si="3"/>
        <v/>
      </c>
      <c r="XAB82" t="str">
        <f>IF(ISNUMBER(XAA82),_xlfn.RANK.EQ(XAA82,$XAA$2:$XAA$254,0)+COUNTIF($XAA$2:XAA82,XAA82)-1,"")</f>
        <v/>
      </c>
      <c r="XAC82" s="11" t="str">
        <f t="shared" si="4"/>
        <v/>
      </c>
    </row>
    <row r="83" spans="3:6 16251:16253" x14ac:dyDescent="0.25">
      <c r="C83" s="17" t="str">
        <f t="shared" si="5"/>
        <v/>
      </c>
      <c r="D83" s="3"/>
      <c r="E83" s="6"/>
      <c r="F83" s="9"/>
      <c r="XAA83" t="str">
        <f t="shared" si="3"/>
        <v/>
      </c>
      <c r="XAB83" t="str">
        <f>IF(ISNUMBER(XAA83),_xlfn.RANK.EQ(XAA83,$XAA$2:$XAA$254,0)+COUNTIF($XAA$2:XAA83,XAA83)-1,"")</f>
        <v/>
      </c>
      <c r="XAC83" s="11" t="str">
        <f t="shared" si="4"/>
        <v/>
      </c>
    </row>
    <row r="84" spans="3:6 16251:16253" x14ac:dyDescent="0.25">
      <c r="C84" s="17" t="str">
        <f t="shared" si="5"/>
        <v/>
      </c>
      <c r="D84" s="3"/>
      <c r="E84" s="6"/>
      <c r="F84" s="9"/>
      <c r="XAA84" t="str">
        <f t="shared" si="3"/>
        <v/>
      </c>
      <c r="XAB84" t="str">
        <f>IF(ISNUMBER(XAA84),_xlfn.RANK.EQ(XAA84,$XAA$2:$XAA$254,0)+COUNTIF($XAA$2:XAA84,XAA84)-1,"")</f>
        <v/>
      </c>
      <c r="XAC84" s="11" t="str">
        <f t="shared" si="4"/>
        <v/>
      </c>
    </row>
    <row r="85" spans="3:6 16251:16253" x14ac:dyDescent="0.25">
      <c r="C85" s="17" t="str">
        <f t="shared" si="5"/>
        <v/>
      </c>
      <c r="D85" s="3"/>
      <c r="E85" s="6"/>
      <c r="F85" s="9"/>
      <c r="XAA85" t="str">
        <f t="shared" si="3"/>
        <v/>
      </c>
      <c r="XAB85" t="str">
        <f>IF(ISNUMBER(XAA85),_xlfn.RANK.EQ(XAA85,$XAA$2:$XAA$254,0)+COUNTIF($XAA$2:XAA85,XAA85)-1,"")</f>
        <v/>
      </c>
      <c r="XAC85" s="11" t="str">
        <f t="shared" si="4"/>
        <v/>
      </c>
    </row>
    <row r="86" spans="3:6 16251:16253" x14ac:dyDescent="0.25">
      <c r="C86" s="17" t="str">
        <f t="shared" si="5"/>
        <v/>
      </c>
      <c r="D86" s="3"/>
      <c r="E86" s="6"/>
      <c r="F86" s="9"/>
      <c r="XAA86" t="str">
        <f t="shared" si="3"/>
        <v/>
      </c>
      <c r="XAB86" t="str">
        <f>IF(ISNUMBER(XAA86),_xlfn.RANK.EQ(XAA86,$XAA$2:$XAA$254,0)+COUNTIF($XAA$2:XAA86,XAA86)-1,"")</f>
        <v/>
      </c>
      <c r="XAC86" s="11" t="str">
        <f t="shared" si="4"/>
        <v/>
      </c>
    </row>
    <row r="87" spans="3:6 16251:16253" x14ac:dyDescent="0.25">
      <c r="C87" s="17" t="str">
        <f t="shared" si="5"/>
        <v/>
      </c>
      <c r="D87" s="3"/>
      <c r="E87" s="6"/>
      <c r="F87" s="9"/>
      <c r="XAA87" t="str">
        <f t="shared" si="3"/>
        <v/>
      </c>
      <c r="XAB87" t="str">
        <f>IF(ISNUMBER(XAA87),_xlfn.RANK.EQ(XAA87,$XAA$2:$XAA$254,0)+COUNTIF($XAA$2:XAA87,XAA87)-1,"")</f>
        <v/>
      </c>
      <c r="XAC87" s="11" t="str">
        <f t="shared" si="4"/>
        <v/>
      </c>
    </row>
    <row r="88" spans="3:6 16251:16253" x14ac:dyDescent="0.25">
      <c r="C88" s="17" t="str">
        <f t="shared" si="5"/>
        <v/>
      </c>
      <c r="D88" s="3"/>
      <c r="E88" s="6"/>
      <c r="F88" s="9"/>
      <c r="XAA88" t="str">
        <f t="shared" si="3"/>
        <v/>
      </c>
      <c r="XAB88" t="str">
        <f>IF(ISNUMBER(XAA88),_xlfn.RANK.EQ(XAA88,$XAA$2:$XAA$254,0)+COUNTIF($XAA$2:XAA88,XAA88)-1,"")</f>
        <v/>
      </c>
      <c r="XAC88" s="11" t="str">
        <f t="shared" si="4"/>
        <v/>
      </c>
    </row>
    <row r="89" spans="3:6 16251:16253" x14ac:dyDescent="0.25">
      <c r="C89" s="17" t="str">
        <f t="shared" si="5"/>
        <v/>
      </c>
      <c r="D89" s="3"/>
      <c r="E89" s="6"/>
      <c r="F89" s="9"/>
      <c r="XAA89" t="str">
        <f t="shared" si="3"/>
        <v/>
      </c>
      <c r="XAB89" t="str">
        <f>IF(ISNUMBER(XAA89),_xlfn.RANK.EQ(XAA89,$XAA$2:$XAA$254,0)+COUNTIF($XAA$2:XAA89,XAA89)-1,"")</f>
        <v/>
      </c>
      <c r="XAC89" s="11" t="str">
        <f t="shared" si="4"/>
        <v/>
      </c>
    </row>
    <row r="90" spans="3:6 16251:16253" x14ac:dyDescent="0.25">
      <c r="C90" s="17" t="str">
        <f t="shared" si="5"/>
        <v/>
      </c>
      <c r="D90" s="3"/>
      <c r="E90" s="6"/>
      <c r="F90" s="9"/>
      <c r="XAA90" t="str">
        <f t="shared" si="3"/>
        <v/>
      </c>
      <c r="XAB90" t="str">
        <f>IF(ISNUMBER(XAA90),_xlfn.RANK.EQ(XAA90,$XAA$2:$XAA$254,0)+COUNTIF($XAA$2:XAA90,XAA90)-1,"")</f>
        <v/>
      </c>
      <c r="XAC90" s="11" t="str">
        <f t="shared" si="4"/>
        <v/>
      </c>
    </row>
    <row r="91" spans="3:6 16251:16253" x14ac:dyDescent="0.25">
      <c r="C91" s="17" t="str">
        <f t="shared" si="5"/>
        <v/>
      </c>
      <c r="D91" s="3"/>
      <c r="E91" s="6"/>
      <c r="F91" s="9"/>
      <c r="XAA91" t="str">
        <f t="shared" si="3"/>
        <v/>
      </c>
      <c r="XAB91" t="str">
        <f>IF(ISNUMBER(XAA91),_xlfn.RANK.EQ(XAA91,$XAA$2:$XAA$254,0)+COUNTIF($XAA$2:XAA91,XAA91)-1,"")</f>
        <v/>
      </c>
      <c r="XAC91" s="11" t="str">
        <f t="shared" si="4"/>
        <v/>
      </c>
    </row>
    <row r="92" spans="3:6 16251:16253" x14ac:dyDescent="0.25">
      <c r="C92" s="17" t="str">
        <f t="shared" si="5"/>
        <v/>
      </c>
      <c r="D92" s="3"/>
      <c r="E92" s="6"/>
      <c r="F92" s="9"/>
      <c r="XAA92" t="str">
        <f t="shared" si="3"/>
        <v/>
      </c>
      <c r="XAB92" t="str">
        <f>IF(ISNUMBER(XAA92),_xlfn.RANK.EQ(XAA92,$XAA$2:$XAA$254,0)+COUNTIF($XAA$2:XAA92,XAA92)-1,"")</f>
        <v/>
      </c>
      <c r="XAC92" s="11" t="str">
        <f t="shared" si="4"/>
        <v/>
      </c>
    </row>
    <row r="93" spans="3:6 16251:16253" x14ac:dyDescent="0.25">
      <c r="C93" s="17" t="str">
        <f t="shared" si="5"/>
        <v/>
      </c>
      <c r="D93" s="3"/>
      <c r="E93" s="6"/>
      <c r="F93" s="9"/>
      <c r="XAA93" t="str">
        <f t="shared" si="3"/>
        <v/>
      </c>
      <c r="XAB93" t="str">
        <f>IF(ISNUMBER(XAA93),_xlfn.RANK.EQ(XAA93,$XAA$2:$XAA$254,0)+COUNTIF($XAA$2:XAA93,XAA93)-1,"")</f>
        <v/>
      </c>
      <c r="XAC93" s="11" t="str">
        <f t="shared" si="4"/>
        <v/>
      </c>
    </row>
    <row r="94" spans="3:6 16251:16253" x14ac:dyDescent="0.25">
      <c r="C94" s="17" t="str">
        <f t="shared" si="5"/>
        <v/>
      </c>
      <c r="D94" s="3"/>
      <c r="E94" s="6"/>
      <c r="F94" s="9"/>
      <c r="XAA94" t="str">
        <f t="shared" si="3"/>
        <v/>
      </c>
      <c r="XAB94" t="str">
        <f>IF(ISNUMBER(XAA94),_xlfn.RANK.EQ(XAA94,$XAA$2:$XAA$254,0)+COUNTIF($XAA$2:XAA94,XAA94)-1,"")</f>
        <v/>
      </c>
      <c r="XAC94" s="11" t="str">
        <f t="shared" si="4"/>
        <v/>
      </c>
    </row>
    <row r="95" spans="3:6 16251:16253" x14ac:dyDescent="0.25">
      <c r="C95" s="17" t="str">
        <f t="shared" si="5"/>
        <v/>
      </c>
      <c r="D95" s="3"/>
      <c r="E95" s="6"/>
      <c r="F95" s="9"/>
      <c r="XAA95" t="str">
        <f t="shared" si="3"/>
        <v/>
      </c>
      <c r="XAB95" t="str">
        <f>IF(ISNUMBER(XAA95),_xlfn.RANK.EQ(XAA95,$XAA$2:$XAA$254,0)+COUNTIF($XAA$2:XAA95,XAA95)-1,"")</f>
        <v/>
      </c>
      <c r="XAC95" s="11" t="str">
        <f t="shared" si="4"/>
        <v/>
      </c>
    </row>
    <row r="96" spans="3:6 16251:16253" x14ac:dyDescent="0.25">
      <c r="C96" s="17" t="str">
        <f t="shared" si="5"/>
        <v/>
      </c>
      <c r="D96" s="3"/>
      <c r="E96" s="6"/>
      <c r="F96" s="9"/>
      <c r="XAA96" t="str">
        <f t="shared" si="3"/>
        <v/>
      </c>
      <c r="XAB96" t="str">
        <f>IF(ISNUMBER(XAA96),_xlfn.RANK.EQ(XAA96,$XAA$2:$XAA$254,0)+COUNTIF($XAA$2:XAA96,XAA96)-1,"")</f>
        <v/>
      </c>
      <c r="XAC96" s="11" t="str">
        <f t="shared" si="4"/>
        <v/>
      </c>
    </row>
    <row r="97" spans="3:6 16251:16253" x14ac:dyDescent="0.25">
      <c r="C97" s="17" t="str">
        <f t="shared" si="5"/>
        <v/>
      </c>
      <c r="D97" s="3"/>
      <c r="E97" s="6"/>
      <c r="F97" s="9"/>
      <c r="XAA97" t="str">
        <f t="shared" si="3"/>
        <v/>
      </c>
      <c r="XAB97" t="str">
        <f>IF(ISNUMBER(XAA97),_xlfn.RANK.EQ(XAA97,$XAA$2:$XAA$254,0)+COUNTIF($XAA$2:XAA97,XAA97)-1,"")</f>
        <v/>
      </c>
      <c r="XAC97" s="11" t="str">
        <f t="shared" si="4"/>
        <v/>
      </c>
    </row>
    <row r="98" spans="3:6 16251:16253" x14ac:dyDescent="0.25">
      <c r="C98" s="17" t="str">
        <f t="shared" si="5"/>
        <v/>
      </c>
      <c r="D98" s="3"/>
      <c r="E98" s="6"/>
      <c r="F98" s="9"/>
      <c r="XAA98" t="str">
        <f t="shared" si="3"/>
        <v/>
      </c>
      <c r="XAB98" t="str">
        <f>IF(ISNUMBER(XAA98),_xlfn.RANK.EQ(XAA98,$XAA$2:$XAA$254,0)+COUNTIF($XAA$2:XAA98,XAA98)-1,"")</f>
        <v/>
      </c>
      <c r="XAC98" s="11" t="str">
        <f t="shared" si="4"/>
        <v/>
      </c>
    </row>
    <row r="99" spans="3:6 16251:16253" x14ac:dyDescent="0.25">
      <c r="C99" s="17" t="str">
        <f t="shared" si="5"/>
        <v/>
      </c>
      <c r="D99" s="3"/>
      <c r="E99" s="6"/>
      <c r="F99" s="9"/>
      <c r="XAA99" t="str">
        <f t="shared" si="3"/>
        <v/>
      </c>
      <c r="XAB99" t="str">
        <f>IF(ISNUMBER(XAA99),_xlfn.RANK.EQ(XAA99,$XAA$2:$XAA$254,0)+COUNTIF($XAA$2:XAA99,XAA99)-1,"")</f>
        <v/>
      </c>
      <c r="XAC99" s="11" t="str">
        <f t="shared" si="4"/>
        <v/>
      </c>
    </row>
    <row r="100" spans="3:6 16251:16253" x14ac:dyDescent="0.25">
      <c r="C100" s="17" t="str">
        <f t="shared" si="5"/>
        <v/>
      </c>
      <c r="D100" s="3"/>
      <c r="E100" s="6"/>
      <c r="F100" s="9"/>
      <c r="XAA100" t="str">
        <f t="shared" si="3"/>
        <v/>
      </c>
      <c r="XAB100" t="str">
        <f>IF(ISNUMBER(XAA100),_xlfn.RANK.EQ(XAA100,$XAA$2:$XAA$254,0)+COUNTIF($XAA$2:XAA100,XAA100)-1,"")</f>
        <v/>
      </c>
      <c r="XAC100" s="11" t="str">
        <f t="shared" si="4"/>
        <v/>
      </c>
    </row>
    <row r="101" spans="3:6 16251:16253" x14ac:dyDescent="0.25">
      <c r="C101" s="17" t="str">
        <f t="shared" si="5"/>
        <v/>
      </c>
      <c r="D101" s="3"/>
      <c r="E101" s="6"/>
      <c r="F101" s="9"/>
      <c r="XAA101" t="str">
        <f t="shared" si="3"/>
        <v/>
      </c>
      <c r="XAB101" t="str">
        <f>IF(ISNUMBER(XAA101),_xlfn.RANK.EQ(XAA101,$XAA$2:$XAA$254,0)+COUNTIF($XAA$2:XAA101,XAA101)-1,"")</f>
        <v/>
      </c>
      <c r="XAC101" s="11" t="str">
        <f t="shared" si="4"/>
        <v/>
      </c>
    </row>
    <row r="102" spans="3:6 16251:16253" x14ac:dyDescent="0.25">
      <c r="C102" s="17" t="str">
        <f t="shared" si="5"/>
        <v/>
      </c>
      <c r="D102" s="3"/>
      <c r="E102" s="6"/>
      <c r="F102" s="9"/>
      <c r="XAA102" t="str">
        <f t="shared" si="3"/>
        <v/>
      </c>
      <c r="XAB102" t="str">
        <f>IF(ISNUMBER(XAA102),_xlfn.RANK.EQ(XAA102,$XAA$2:$XAA$254,0)+COUNTIF($XAA$2:XAA102,XAA102)-1,"")</f>
        <v/>
      </c>
      <c r="XAC102" s="11" t="str">
        <f t="shared" si="4"/>
        <v/>
      </c>
    </row>
    <row r="103" spans="3:6 16251:16253" x14ac:dyDescent="0.25">
      <c r="C103" s="17" t="str">
        <f t="shared" si="5"/>
        <v/>
      </c>
      <c r="D103" s="3"/>
      <c r="E103" s="6"/>
      <c r="F103" s="9"/>
      <c r="XAA103" t="str">
        <f t="shared" si="3"/>
        <v/>
      </c>
      <c r="XAB103" t="str">
        <f>IF(ISNUMBER(XAA103),_xlfn.RANK.EQ(XAA103,$XAA$2:$XAA$254,0)+COUNTIF($XAA$2:XAA103,XAA103)-1,"")</f>
        <v/>
      </c>
      <c r="XAC103" s="11" t="str">
        <f t="shared" si="4"/>
        <v/>
      </c>
    </row>
    <row r="104" spans="3:6 16251:16253" x14ac:dyDescent="0.25">
      <c r="C104" s="17" t="str">
        <f t="shared" si="5"/>
        <v/>
      </c>
      <c r="D104" s="3"/>
      <c r="E104" s="6"/>
      <c r="F104" s="9"/>
      <c r="XAA104" t="str">
        <f t="shared" si="3"/>
        <v/>
      </c>
      <c r="XAB104" t="str">
        <f>IF(ISNUMBER(XAA104),_xlfn.RANK.EQ(XAA104,$XAA$2:$XAA$254,0)+COUNTIF($XAA$2:XAA104,XAA104)-1,"")</f>
        <v/>
      </c>
      <c r="XAC104" s="11" t="str">
        <f t="shared" si="4"/>
        <v/>
      </c>
    </row>
    <row r="105" spans="3:6 16251:16253" x14ac:dyDescent="0.25">
      <c r="C105" s="17" t="str">
        <f t="shared" si="5"/>
        <v/>
      </c>
      <c r="D105" s="3"/>
      <c r="E105" s="6"/>
      <c r="F105" s="9"/>
      <c r="XAA105" t="str">
        <f t="shared" si="3"/>
        <v/>
      </c>
      <c r="XAB105" t="str">
        <f>IF(ISNUMBER(XAA105),_xlfn.RANK.EQ(XAA105,$XAA$2:$XAA$254,0)+COUNTIF($XAA$2:XAA105,XAA105)-1,"")</f>
        <v/>
      </c>
      <c r="XAC105" s="11" t="str">
        <f t="shared" si="4"/>
        <v/>
      </c>
    </row>
    <row r="106" spans="3:6 16251:16253" x14ac:dyDescent="0.25">
      <c r="C106" s="17" t="str">
        <f t="shared" si="5"/>
        <v/>
      </c>
      <c r="D106" s="3"/>
      <c r="E106" s="6"/>
      <c r="F106" s="9"/>
      <c r="XAA106" t="str">
        <f t="shared" si="3"/>
        <v/>
      </c>
      <c r="XAB106" t="str">
        <f>IF(ISNUMBER(XAA106),_xlfn.RANK.EQ(XAA106,$XAA$2:$XAA$254,0)+COUNTIF($XAA$2:XAA106,XAA106)-1,"")</f>
        <v/>
      </c>
      <c r="XAC106" s="11" t="str">
        <f t="shared" si="4"/>
        <v/>
      </c>
    </row>
    <row r="107" spans="3:6 16251:16253" x14ac:dyDescent="0.25">
      <c r="C107" s="17" t="str">
        <f t="shared" si="5"/>
        <v/>
      </c>
      <c r="D107" s="3"/>
      <c r="E107" s="6"/>
      <c r="F107" s="9"/>
      <c r="XAA107" t="str">
        <f t="shared" si="3"/>
        <v/>
      </c>
      <c r="XAB107" t="str">
        <f>IF(ISNUMBER(XAA107),_xlfn.RANK.EQ(XAA107,$XAA$2:$XAA$254,0)+COUNTIF($XAA$2:XAA107,XAA107)-1,"")</f>
        <v/>
      </c>
      <c r="XAC107" s="11" t="str">
        <f t="shared" si="4"/>
        <v/>
      </c>
    </row>
    <row r="108" spans="3:6 16251:16253" x14ac:dyDescent="0.25">
      <c r="C108" s="17" t="str">
        <f t="shared" si="5"/>
        <v/>
      </c>
      <c r="D108" s="3"/>
      <c r="E108" s="6"/>
      <c r="F108" s="9"/>
      <c r="XAA108" t="str">
        <f t="shared" si="3"/>
        <v/>
      </c>
      <c r="XAB108" t="str">
        <f>IF(ISNUMBER(XAA108),_xlfn.RANK.EQ(XAA108,$XAA$2:$XAA$254,0)+COUNTIF($XAA$2:XAA108,XAA108)-1,"")</f>
        <v/>
      </c>
      <c r="XAC108" s="11" t="str">
        <f t="shared" si="4"/>
        <v/>
      </c>
    </row>
    <row r="109" spans="3:6 16251:16253" x14ac:dyDescent="0.25">
      <c r="C109" s="17" t="str">
        <f t="shared" si="5"/>
        <v/>
      </c>
      <c r="D109" s="3"/>
      <c r="E109" s="6"/>
      <c r="F109" s="9"/>
      <c r="XAA109" t="str">
        <f t="shared" si="3"/>
        <v/>
      </c>
      <c r="XAB109" t="str">
        <f>IF(ISNUMBER(XAA109),_xlfn.RANK.EQ(XAA109,$XAA$2:$XAA$254,0)+COUNTIF($XAA$2:XAA109,XAA109)-1,"")</f>
        <v/>
      </c>
      <c r="XAC109" s="11" t="str">
        <f t="shared" si="4"/>
        <v/>
      </c>
    </row>
    <row r="110" spans="3:6 16251:16253" x14ac:dyDescent="0.25">
      <c r="C110" s="17" t="str">
        <f t="shared" si="5"/>
        <v/>
      </c>
      <c r="D110" s="3"/>
      <c r="E110" s="6"/>
      <c r="F110" s="9"/>
      <c r="XAA110" t="str">
        <f t="shared" si="3"/>
        <v/>
      </c>
      <c r="XAB110" t="str">
        <f>IF(ISNUMBER(XAA110),_xlfn.RANK.EQ(XAA110,$XAA$2:$XAA$254,0)+COUNTIF($XAA$2:XAA110,XAA110)-1,"")</f>
        <v/>
      </c>
      <c r="XAC110" s="11" t="str">
        <f t="shared" si="4"/>
        <v/>
      </c>
    </row>
    <row r="111" spans="3:6 16251:16253" x14ac:dyDescent="0.25">
      <c r="C111" s="17" t="str">
        <f t="shared" si="5"/>
        <v/>
      </c>
      <c r="D111" s="3"/>
      <c r="E111" s="6"/>
      <c r="F111" s="9"/>
      <c r="XAA111" t="str">
        <f t="shared" si="3"/>
        <v/>
      </c>
      <c r="XAB111" t="str">
        <f>IF(ISNUMBER(XAA111),_xlfn.RANK.EQ(XAA111,$XAA$2:$XAA$254,0)+COUNTIF($XAA$2:XAA111,XAA111)-1,"")</f>
        <v/>
      </c>
      <c r="XAC111" s="11" t="str">
        <f t="shared" si="4"/>
        <v/>
      </c>
    </row>
    <row r="112" spans="3:6 16251:16253" x14ac:dyDescent="0.25">
      <c r="C112" s="17" t="str">
        <f t="shared" si="5"/>
        <v/>
      </c>
      <c r="D112" s="3"/>
      <c r="E112" s="6"/>
      <c r="F112" s="9"/>
      <c r="XAA112" t="str">
        <f t="shared" si="3"/>
        <v/>
      </c>
      <c r="XAB112" t="str">
        <f>IF(ISNUMBER(XAA112),_xlfn.RANK.EQ(XAA112,$XAA$2:$XAA$254,0)+COUNTIF($XAA$2:XAA112,XAA112)-1,"")</f>
        <v/>
      </c>
      <c r="XAC112" s="11" t="str">
        <f t="shared" si="4"/>
        <v/>
      </c>
    </row>
    <row r="113" spans="3:6 16251:16253" x14ac:dyDescent="0.25">
      <c r="C113" s="17" t="str">
        <f t="shared" si="5"/>
        <v/>
      </c>
      <c r="D113" s="3"/>
      <c r="E113" s="6"/>
      <c r="F113" s="9"/>
      <c r="XAA113" t="str">
        <f t="shared" si="3"/>
        <v/>
      </c>
      <c r="XAB113" t="str">
        <f>IF(ISNUMBER(XAA113),_xlfn.RANK.EQ(XAA113,$XAA$2:$XAA$254,0)+COUNTIF($XAA$2:XAA113,XAA113)-1,"")</f>
        <v/>
      </c>
      <c r="XAC113" s="11" t="str">
        <f t="shared" si="4"/>
        <v/>
      </c>
    </row>
    <row r="114" spans="3:6 16251:16253" x14ac:dyDescent="0.25">
      <c r="C114" s="17" t="str">
        <f t="shared" si="5"/>
        <v/>
      </c>
      <c r="D114" s="3"/>
      <c r="E114" s="6"/>
      <c r="F114" s="9"/>
      <c r="XAA114" t="str">
        <f t="shared" si="3"/>
        <v/>
      </c>
      <c r="XAB114" t="str">
        <f>IF(ISNUMBER(XAA114),_xlfn.RANK.EQ(XAA114,$XAA$2:$XAA$254,0)+COUNTIF($XAA$2:XAA114,XAA114)-1,"")</f>
        <v/>
      </c>
      <c r="XAC114" s="11" t="str">
        <f t="shared" si="4"/>
        <v/>
      </c>
    </row>
    <row r="115" spans="3:6 16251:16253" x14ac:dyDescent="0.25">
      <c r="C115" s="17" t="str">
        <f t="shared" si="5"/>
        <v/>
      </c>
      <c r="D115" s="3"/>
      <c r="E115" s="6"/>
      <c r="F115" s="9"/>
      <c r="XAA115" t="str">
        <f t="shared" si="3"/>
        <v/>
      </c>
      <c r="XAB115" t="str">
        <f>IF(ISNUMBER(XAA115),_xlfn.RANK.EQ(XAA115,$XAA$2:$XAA$254,0)+COUNTIF($XAA$2:XAA115,XAA115)-1,"")</f>
        <v/>
      </c>
      <c r="XAC115" s="11" t="str">
        <f t="shared" si="4"/>
        <v/>
      </c>
    </row>
    <row r="116" spans="3:6 16251:16253" x14ac:dyDescent="0.25">
      <c r="C116" s="17" t="str">
        <f t="shared" si="5"/>
        <v/>
      </c>
      <c r="D116" s="3"/>
      <c r="E116" s="6"/>
      <c r="F116" s="9"/>
      <c r="XAA116" t="str">
        <f t="shared" si="3"/>
        <v/>
      </c>
      <c r="XAB116" t="str">
        <f>IF(ISNUMBER(XAA116),_xlfn.RANK.EQ(XAA116,$XAA$2:$XAA$254,0)+COUNTIF($XAA$2:XAA116,XAA116)-1,"")</f>
        <v/>
      </c>
      <c r="XAC116" s="11" t="str">
        <f t="shared" si="4"/>
        <v/>
      </c>
    </row>
    <row r="117" spans="3:6 16251:16253" x14ac:dyDescent="0.25">
      <c r="C117" s="17" t="str">
        <f t="shared" si="5"/>
        <v/>
      </c>
      <c r="D117" s="3"/>
      <c r="E117" s="6"/>
      <c r="F117" s="9"/>
      <c r="XAA117" t="str">
        <f t="shared" si="3"/>
        <v/>
      </c>
      <c r="XAB117" t="str">
        <f>IF(ISNUMBER(XAA117),_xlfn.RANK.EQ(XAA117,$XAA$2:$XAA$254,0)+COUNTIF($XAA$2:XAA117,XAA117)-1,"")</f>
        <v/>
      </c>
      <c r="XAC117" s="11" t="str">
        <f t="shared" si="4"/>
        <v/>
      </c>
    </row>
    <row r="118" spans="3:6 16251:16253" x14ac:dyDescent="0.25">
      <c r="C118" s="17" t="str">
        <f t="shared" si="5"/>
        <v/>
      </c>
      <c r="D118" s="3"/>
      <c r="E118" s="6"/>
      <c r="F118" s="9"/>
      <c r="XAA118" t="str">
        <f t="shared" si="3"/>
        <v/>
      </c>
      <c r="XAB118" t="str">
        <f>IF(ISNUMBER(XAA118),_xlfn.RANK.EQ(XAA118,$XAA$2:$XAA$254,0)+COUNTIF($XAA$2:XAA118,XAA118)-1,"")</f>
        <v/>
      </c>
      <c r="XAC118" s="11" t="str">
        <f t="shared" si="4"/>
        <v/>
      </c>
    </row>
    <row r="119" spans="3:6 16251:16253" x14ac:dyDescent="0.25">
      <c r="C119" s="17" t="str">
        <f t="shared" si="5"/>
        <v/>
      </c>
      <c r="D119" s="3"/>
      <c r="E119" s="6"/>
      <c r="F119" s="9"/>
      <c r="XAA119" t="str">
        <f t="shared" si="3"/>
        <v/>
      </c>
      <c r="XAB119" t="str">
        <f>IF(ISNUMBER(XAA119),_xlfn.RANK.EQ(XAA119,$XAA$2:$XAA$254,0)+COUNTIF($XAA$2:XAA119,XAA119)-1,"")</f>
        <v/>
      </c>
      <c r="XAC119" s="11" t="str">
        <f t="shared" si="4"/>
        <v/>
      </c>
    </row>
    <row r="120" spans="3:6 16251:16253" x14ac:dyDescent="0.25">
      <c r="C120" s="17" t="str">
        <f t="shared" si="5"/>
        <v/>
      </c>
      <c r="D120" s="3"/>
      <c r="E120" s="6"/>
      <c r="F120" s="9"/>
      <c r="XAA120" t="str">
        <f t="shared" si="3"/>
        <v/>
      </c>
      <c r="XAB120" t="str">
        <f>IF(ISNUMBER(XAA120),_xlfn.RANK.EQ(XAA120,$XAA$2:$XAA$254,0)+COUNTIF($XAA$2:XAA120,XAA120)-1,"")</f>
        <v/>
      </c>
      <c r="XAC120" s="11" t="str">
        <f t="shared" si="4"/>
        <v/>
      </c>
    </row>
    <row r="121" spans="3:6 16251:16253" x14ac:dyDescent="0.25">
      <c r="C121" s="17" t="str">
        <f t="shared" si="5"/>
        <v/>
      </c>
      <c r="D121" s="3"/>
      <c r="E121" s="6"/>
      <c r="F121" s="9"/>
      <c r="XAA121" t="str">
        <f t="shared" si="3"/>
        <v/>
      </c>
      <c r="XAB121" t="str">
        <f>IF(ISNUMBER(XAA121),_xlfn.RANK.EQ(XAA121,$XAA$2:$XAA$254,0)+COUNTIF($XAA$2:XAA121,XAA121)-1,"")</f>
        <v/>
      </c>
      <c r="XAC121" s="11" t="str">
        <f t="shared" si="4"/>
        <v/>
      </c>
    </row>
    <row r="122" spans="3:6 16251:16253" x14ac:dyDescent="0.25">
      <c r="C122" s="17" t="str">
        <f t="shared" si="5"/>
        <v/>
      </c>
      <c r="D122" s="3"/>
      <c r="E122" s="6"/>
      <c r="F122" s="9"/>
      <c r="XAA122" t="str">
        <f t="shared" si="3"/>
        <v/>
      </c>
      <c r="XAB122" t="str">
        <f>IF(ISNUMBER(XAA122),_xlfn.RANK.EQ(XAA122,$XAA$2:$XAA$254,0)+COUNTIF($XAA$2:XAA122,XAA122)-1,"")</f>
        <v/>
      </c>
      <c r="XAC122" s="11" t="str">
        <f t="shared" si="4"/>
        <v/>
      </c>
    </row>
    <row r="123" spans="3:6 16251:16253" x14ac:dyDescent="0.25">
      <c r="C123" s="17" t="str">
        <f t="shared" si="5"/>
        <v/>
      </c>
      <c r="D123" s="3"/>
      <c r="E123" s="6"/>
      <c r="F123" s="9"/>
      <c r="XAA123" t="str">
        <f t="shared" si="3"/>
        <v/>
      </c>
      <c r="XAB123" t="str">
        <f>IF(ISNUMBER(XAA123),_xlfn.RANK.EQ(XAA123,$XAA$2:$XAA$254,0)+COUNTIF($XAA$2:XAA123,XAA123)-1,"")</f>
        <v/>
      </c>
      <c r="XAC123" s="11" t="str">
        <f t="shared" si="4"/>
        <v/>
      </c>
    </row>
    <row r="124" spans="3:6 16251:16253" x14ac:dyDescent="0.25">
      <c r="C124" s="17" t="str">
        <f t="shared" si="5"/>
        <v/>
      </c>
      <c r="D124" s="3"/>
      <c r="E124" s="6"/>
      <c r="F124" s="9"/>
      <c r="XAA124" t="str">
        <f t="shared" si="3"/>
        <v/>
      </c>
      <c r="XAB124" t="str">
        <f>IF(ISNUMBER(XAA124),_xlfn.RANK.EQ(XAA124,$XAA$2:$XAA$254,0)+COUNTIF($XAA$2:XAA124,XAA124)-1,"")</f>
        <v/>
      </c>
      <c r="XAC124" s="11" t="str">
        <f t="shared" si="4"/>
        <v/>
      </c>
    </row>
    <row r="125" spans="3:6 16251:16253" x14ac:dyDescent="0.25">
      <c r="C125" s="17" t="str">
        <f t="shared" si="5"/>
        <v/>
      </c>
      <c r="D125" s="3"/>
      <c r="E125" s="6"/>
      <c r="F125" s="9"/>
      <c r="XAA125" t="str">
        <f t="shared" si="3"/>
        <v/>
      </c>
      <c r="XAB125" t="str">
        <f>IF(ISNUMBER(XAA125),_xlfn.RANK.EQ(XAA125,$XAA$2:$XAA$254,0)+COUNTIF($XAA$2:XAA125,XAA125)-1,"")</f>
        <v/>
      </c>
      <c r="XAC125" s="11" t="str">
        <f t="shared" si="4"/>
        <v/>
      </c>
    </row>
    <row r="126" spans="3:6 16251:16253" x14ac:dyDescent="0.25">
      <c r="C126" s="17" t="str">
        <f t="shared" si="5"/>
        <v/>
      </c>
      <c r="D126" s="3"/>
      <c r="E126" s="6"/>
      <c r="F126" s="9"/>
      <c r="XAA126" t="str">
        <f t="shared" si="3"/>
        <v/>
      </c>
      <c r="XAB126" t="str">
        <f>IF(ISNUMBER(XAA126),_xlfn.RANK.EQ(XAA126,$XAA$2:$XAA$254,0)+COUNTIF($XAA$2:XAA126,XAA126)-1,"")</f>
        <v/>
      </c>
      <c r="XAC126" s="11" t="str">
        <f t="shared" si="4"/>
        <v/>
      </c>
    </row>
    <row r="127" spans="3:6 16251:16253" x14ac:dyDescent="0.25">
      <c r="C127" s="17" t="str">
        <f t="shared" si="5"/>
        <v/>
      </c>
      <c r="D127" s="3"/>
      <c r="E127" s="6"/>
      <c r="F127" s="9"/>
      <c r="XAA127" t="str">
        <f t="shared" si="3"/>
        <v/>
      </c>
      <c r="XAB127" t="str">
        <f>IF(ISNUMBER(XAA127),_xlfn.RANK.EQ(XAA127,$XAA$2:$XAA$254,0)+COUNTIF($XAA$2:XAA127,XAA127)-1,"")</f>
        <v/>
      </c>
      <c r="XAC127" s="11" t="str">
        <f t="shared" si="4"/>
        <v/>
      </c>
    </row>
    <row r="128" spans="3:6 16251:16253" x14ac:dyDescent="0.25">
      <c r="C128" s="17" t="str">
        <f t="shared" si="5"/>
        <v/>
      </c>
      <c r="D128" s="3"/>
      <c r="E128" s="6"/>
      <c r="F128" s="9"/>
      <c r="XAA128" t="str">
        <f t="shared" ref="XAA128:XAA191" si="6">IF(ISNUMBER(SEARCH($WZS$4,XAC128)),1,"")</f>
        <v/>
      </c>
      <c r="XAB128" t="str">
        <f>IF(ISNUMBER(XAA128),_xlfn.RANK.EQ(XAA128,$XAA$2:$XAA$254,0)+COUNTIF($XAA$2:XAA128,XAA128)-1,"")</f>
        <v/>
      </c>
      <c r="XAC128" s="11" t="str">
        <f t="shared" ref="XAC128:XAC191" si="7">IF($I$4="S",SUBSTITUTE(D128," ",""),SUBSTITUTE(SUBSTITUTE(SUBSTITUTE(SUBSTITUTE(SUBSTITUTE(SUBSTITUTE(SUBSTITUTE(SUBSTITUTE(SUBSTITUTE(SUBSTITUTE(SUBSTITUTE(SUBSTITUTE(SUBSTITUTE(SUBSTITUTE(SUBSTITUTE(SUBSTITUTE(SUBSTITUTE(SUBSTITUTE(SUBSTITUTE(SUBSTITUTE(SUBSTITUTE(SUBSTITUTE(SUBSTITUTE(SUBSTITUTE(SUBSTITUTE(SUBSTITUTE(SUBSTITUTE(LOWER(D128)," ",""),"ã","a"),"á","a"),"à","a"),"â","a"),"é","e"),"ê","e"),"í","i"),"ó","o"),"õ","o"),"ô","o"),"ú","u"),"ü","u"),"ç","c"),"“",""),"”",""),",",""),";",""),"(",""),")",""),"+",""),"-",""),".",""),"–",""),"‘",""),"’",""),"+","+"))</f>
        <v/>
      </c>
    </row>
    <row r="129" spans="3:6 16251:16253" x14ac:dyDescent="0.25">
      <c r="C129" s="17" t="str">
        <f t="shared" ref="C129:C192" si="8">XAB129</f>
        <v/>
      </c>
      <c r="D129" s="3"/>
      <c r="E129" s="6"/>
      <c r="F129" s="9"/>
      <c r="XAA129" t="str">
        <f t="shared" si="6"/>
        <v/>
      </c>
      <c r="XAB129" t="str">
        <f>IF(ISNUMBER(XAA129),_xlfn.RANK.EQ(XAA129,$XAA$2:$XAA$254,0)+COUNTIF($XAA$2:XAA129,XAA129)-1,"")</f>
        <v/>
      </c>
      <c r="XAC129" s="11" t="str">
        <f t="shared" si="7"/>
        <v/>
      </c>
    </row>
    <row r="130" spans="3:6 16251:16253" x14ac:dyDescent="0.25">
      <c r="C130" s="17" t="str">
        <f t="shared" si="8"/>
        <v/>
      </c>
      <c r="D130" s="3"/>
      <c r="E130" s="6"/>
      <c r="F130" s="9"/>
      <c r="XAA130" t="str">
        <f t="shared" si="6"/>
        <v/>
      </c>
      <c r="XAB130" t="str">
        <f>IF(ISNUMBER(XAA130),_xlfn.RANK.EQ(XAA130,$XAA$2:$XAA$254,0)+COUNTIF($XAA$2:XAA130,XAA130)-1,"")</f>
        <v/>
      </c>
      <c r="XAC130" s="11" t="str">
        <f t="shared" si="7"/>
        <v/>
      </c>
    </row>
    <row r="131" spans="3:6 16251:16253" x14ac:dyDescent="0.25">
      <c r="C131" s="17" t="str">
        <f t="shared" si="8"/>
        <v/>
      </c>
      <c r="D131" s="3"/>
      <c r="E131" s="6"/>
      <c r="F131" s="9"/>
      <c r="XAA131" t="str">
        <f t="shared" si="6"/>
        <v/>
      </c>
      <c r="XAB131" t="str">
        <f>IF(ISNUMBER(XAA131),_xlfn.RANK.EQ(XAA131,$XAA$2:$XAA$254,0)+COUNTIF($XAA$2:XAA131,XAA131)-1,"")</f>
        <v/>
      </c>
      <c r="XAC131" s="11" t="str">
        <f t="shared" si="7"/>
        <v/>
      </c>
    </row>
    <row r="132" spans="3:6 16251:16253" x14ac:dyDescent="0.25">
      <c r="C132" s="17" t="str">
        <f t="shared" si="8"/>
        <v/>
      </c>
      <c r="D132" s="3"/>
      <c r="E132" s="6"/>
      <c r="F132" s="9"/>
      <c r="XAA132" t="str">
        <f t="shared" si="6"/>
        <v/>
      </c>
      <c r="XAB132" t="str">
        <f>IF(ISNUMBER(XAA132),_xlfn.RANK.EQ(XAA132,$XAA$2:$XAA$254,0)+COUNTIF($XAA$2:XAA132,XAA132)-1,"")</f>
        <v/>
      </c>
      <c r="XAC132" s="11" t="str">
        <f t="shared" si="7"/>
        <v/>
      </c>
    </row>
    <row r="133" spans="3:6 16251:16253" x14ac:dyDescent="0.25">
      <c r="C133" s="17" t="str">
        <f t="shared" si="8"/>
        <v/>
      </c>
      <c r="D133" s="3"/>
      <c r="E133" s="6"/>
      <c r="F133" s="9"/>
      <c r="XAA133" t="str">
        <f t="shared" si="6"/>
        <v/>
      </c>
      <c r="XAB133" t="str">
        <f>IF(ISNUMBER(XAA133),_xlfn.RANK.EQ(XAA133,$XAA$2:$XAA$254,0)+COUNTIF($XAA$2:XAA133,XAA133)-1,"")</f>
        <v/>
      </c>
      <c r="XAC133" s="11" t="str">
        <f t="shared" si="7"/>
        <v/>
      </c>
    </row>
    <row r="134" spans="3:6 16251:16253" x14ac:dyDescent="0.25">
      <c r="C134" s="17" t="str">
        <f t="shared" si="8"/>
        <v/>
      </c>
      <c r="D134" s="3"/>
      <c r="E134" s="6"/>
      <c r="F134" s="9"/>
      <c r="XAA134" t="str">
        <f t="shared" si="6"/>
        <v/>
      </c>
      <c r="XAB134" t="str">
        <f>IF(ISNUMBER(XAA134),_xlfn.RANK.EQ(XAA134,$XAA$2:$XAA$254,0)+COUNTIF($XAA$2:XAA134,XAA134)-1,"")</f>
        <v/>
      </c>
      <c r="XAC134" s="11" t="str">
        <f t="shared" si="7"/>
        <v/>
      </c>
    </row>
    <row r="135" spans="3:6 16251:16253" x14ac:dyDescent="0.25">
      <c r="C135" s="17" t="str">
        <f t="shared" si="8"/>
        <v/>
      </c>
      <c r="D135" s="3"/>
      <c r="E135" s="6"/>
      <c r="F135" s="9"/>
      <c r="XAA135" t="str">
        <f t="shared" si="6"/>
        <v/>
      </c>
      <c r="XAB135" t="str">
        <f>IF(ISNUMBER(XAA135),_xlfn.RANK.EQ(XAA135,$XAA$2:$XAA$254,0)+COUNTIF($XAA$2:XAA135,XAA135)-1,"")</f>
        <v/>
      </c>
      <c r="XAC135" s="11" t="str">
        <f t="shared" si="7"/>
        <v/>
      </c>
    </row>
    <row r="136" spans="3:6 16251:16253" x14ac:dyDescent="0.25">
      <c r="C136" s="17" t="str">
        <f t="shared" si="8"/>
        <v/>
      </c>
      <c r="D136" s="3"/>
      <c r="E136" s="6"/>
      <c r="F136" s="9"/>
      <c r="XAA136" t="str">
        <f t="shared" si="6"/>
        <v/>
      </c>
      <c r="XAB136" t="str">
        <f>IF(ISNUMBER(XAA136),_xlfn.RANK.EQ(XAA136,$XAA$2:$XAA$254,0)+COUNTIF($XAA$2:XAA136,XAA136)-1,"")</f>
        <v/>
      </c>
      <c r="XAC136" s="11" t="str">
        <f t="shared" si="7"/>
        <v/>
      </c>
    </row>
    <row r="137" spans="3:6 16251:16253" x14ac:dyDescent="0.25">
      <c r="C137" s="17" t="str">
        <f t="shared" si="8"/>
        <v/>
      </c>
      <c r="D137" s="3"/>
      <c r="E137" s="6"/>
      <c r="F137" s="9"/>
      <c r="XAA137" t="str">
        <f t="shared" si="6"/>
        <v/>
      </c>
      <c r="XAB137" t="str">
        <f>IF(ISNUMBER(XAA137),_xlfn.RANK.EQ(XAA137,$XAA$2:$XAA$254,0)+COUNTIF($XAA$2:XAA137,XAA137)-1,"")</f>
        <v/>
      </c>
      <c r="XAC137" s="11" t="str">
        <f t="shared" si="7"/>
        <v/>
      </c>
    </row>
    <row r="138" spans="3:6 16251:16253" x14ac:dyDescent="0.25">
      <c r="C138" s="17" t="str">
        <f t="shared" si="8"/>
        <v/>
      </c>
      <c r="D138" s="3"/>
      <c r="E138" s="6"/>
      <c r="F138" s="9"/>
      <c r="XAA138" t="str">
        <f t="shared" si="6"/>
        <v/>
      </c>
      <c r="XAB138" t="str">
        <f>IF(ISNUMBER(XAA138),_xlfn.RANK.EQ(XAA138,$XAA$2:$XAA$254,0)+COUNTIF($XAA$2:XAA138,XAA138)-1,"")</f>
        <v/>
      </c>
      <c r="XAC138" s="11" t="str">
        <f t="shared" si="7"/>
        <v/>
      </c>
    </row>
    <row r="139" spans="3:6 16251:16253" x14ac:dyDescent="0.25">
      <c r="C139" s="17" t="str">
        <f t="shared" si="8"/>
        <v/>
      </c>
      <c r="D139" s="3"/>
      <c r="E139" s="6"/>
      <c r="F139" s="9"/>
      <c r="XAA139" t="str">
        <f t="shared" si="6"/>
        <v/>
      </c>
      <c r="XAB139" t="str">
        <f>IF(ISNUMBER(XAA139),_xlfn.RANK.EQ(XAA139,$XAA$2:$XAA$254,0)+COUNTIF($XAA$2:XAA139,XAA139)-1,"")</f>
        <v/>
      </c>
      <c r="XAC139" s="11" t="str">
        <f t="shared" si="7"/>
        <v/>
      </c>
    </row>
    <row r="140" spans="3:6 16251:16253" x14ac:dyDescent="0.25">
      <c r="C140" s="17" t="str">
        <f t="shared" si="8"/>
        <v/>
      </c>
      <c r="D140" s="3"/>
      <c r="E140" s="6"/>
      <c r="F140" s="9"/>
      <c r="XAA140" t="str">
        <f t="shared" si="6"/>
        <v/>
      </c>
      <c r="XAB140" t="str">
        <f>IF(ISNUMBER(XAA140),_xlfn.RANK.EQ(XAA140,$XAA$2:$XAA$254,0)+COUNTIF($XAA$2:XAA140,XAA140)-1,"")</f>
        <v/>
      </c>
      <c r="XAC140" s="11" t="str">
        <f t="shared" si="7"/>
        <v/>
      </c>
    </row>
    <row r="141" spans="3:6 16251:16253" x14ac:dyDescent="0.25">
      <c r="C141" s="17" t="str">
        <f t="shared" si="8"/>
        <v/>
      </c>
      <c r="D141" s="3"/>
      <c r="E141" s="6"/>
      <c r="F141" s="9"/>
      <c r="XAA141" t="str">
        <f t="shared" si="6"/>
        <v/>
      </c>
      <c r="XAB141" t="str">
        <f>IF(ISNUMBER(XAA141),_xlfn.RANK.EQ(XAA141,$XAA$2:$XAA$254,0)+COUNTIF($XAA$2:XAA141,XAA141)-1,"")</f>
        <v/>
      </c>
      <c r="XAC141" s="11" t="str">
        <f t="shared" si="7"/>
        <v/>
      </c>
    </row>
    <row r="142" spans="3:6 16251:16253" x14ac:dyDescent="0.25">
      <c r="C142" s="17" t="str">
        <f t="shared" si="8"/>
        <v/>
      </c>
      <c r="D142" s="3"/>
      <c r="E142" s="6"/>
      <c r="F142" s="9"/>
      <c r="XAA142" t="str">
        <f t="shared" si="6"/>
        <v/>
      </c>
      <c r="XAB142" t="str">
        <f>IF(ISNUMBER(XAA142),_xlfn.RANK.EQ(XAA142,$XAA$2:$XAA$254,0)+COUNTIF($XAA$2:XAA142,XAA142)-1,"")</f>
        <v/>
      </c>
      <c r="XAC142" s="11" t="str">
        <f t="shared" si="7"/>
        <v/>
      </c>
    </row>
    <row r="143" spans="3:6 16251:16253" x14ac:dyDescent="0.25">
      <c r="C143" s="17" t="str">
        <f t="shared" si="8"/>
        <v/>
      </c>
      <c r="D143" s="3"/>
      <c r="E143" s="6"/>
      <c r="F143" s="9"/>
      <c r="XAA143" t="str">
        <f t="shared" si="6"/>
        <v/>
      </c>
      <c r="XAB143" t="str">
        <f>IF(ISNUMBER(XAA143),_xlfn.RANK.EQ(XAA143,$XAA$2:$XAA$254,0)+COUNTIF($XAA$2:XAA143,XAA143)-1,"")</f>
        <v/>
      </c>
      <c r="XAC143" s="11" t="str">
        <f t="shared" si="7"/>
        <v/>
      </c>
    </row>
    <row r="144" spans="3:6 16251:16253" x14ac:dyDescent="0.25">
      <c r="C144" s="17" t="str">
        <f t="shared" si="8"/>
        <v/>
      </c>
      <c r="D144" s="3"/>
      <c r="E144" s="6"/>
      <c r="F144" s="9"/>
      <c r="XAA144" t="str">
        <f t="shared" si="6"/>
        <v/>
      </c>
      <c r="XAB144" t="str">
        <f>IF(ISNUMBER(XAA144),_xlfn.RANK.EQ(XAA144,$XAA$2:$XAA$254,0)+COUNTIF($XAA$2:XAA144,XAA144)-1,"")</f>
        <v/>
      </c>
      <c r="XAC144" s="11" t="str">
        <f t="shared" si="7"/>
        <v/>
      </c>
    </row>
    <row r="145" spans="3:6 16251:16253" x14ac:dyDescent="0.25">
      <c r="C145" s="17" t="str">
        <f t="shared" si="8"/>
        <v/>
      </c>
      <c r="D145" s="3"/>
      <c r="E145" s="6"/>
      <c r="F145" s="9"/>
      <c r="XAA145" t="str">
        <f t="shared" si="6"/>
        <v/>
      </c>
      <c r="XAB145" t="str">
        <f>IF(ISNUMBER(XAA145),_xlfn.RANK.EQ(XAA145,$XAA$2:$XAA$254,0)+COUNTIF($XAA$2:XAA145,XAA145)-1,"")</f>
        <v/>
      </c>
      <c r="XAC145" s="11" t="str">
        <f t="shared" si="7"/>
        <v/>
      </c>
    </row>
    <row r="146" spans="3:6 16251:16253" x14ac:dyDescent="0.25">
      <c r="C146" s="17" t="str">
        <f t="shared" si="8"/>
        <v/>
      </c>
      <c r="D146" s="3"/>
      <c r="E146" s="6"/>
      <c r="F146" s="9"/>
      <c r="XAA146" t="str">
        <f t="shared" si="6"/>
        <v/>
      </c>
      <c r="XAB146" t="str">
        <f>IF(ISNUMBER(XAA146),_xlfn.RANK.EQ(XAA146,$XAA$2:$XAA$254,0)+COUNTIF($XAA$2:XAA146,XAA146)-1,"")</f>
        <v/>
      </c>
      <c r="XAC146" s="11" t="str">
        <f t="shared" si="7"/>
        <v/>
      </c>
    </row>
    <row r="147" spans="3:6 16251:16253" x14ac:dyDescent="0.25">
      <c r="C147" s="17" t="str">
        <f t="shared" si="8"/>
        <v/>
      </c>
      <c r="D147" s="3"/>
      <c r="E147" s="6"/>
      <c r="F147" s="9"/>
      <c r="XAA147" t="str">
        <f t="shared" si="6"/>
        <v/>
      </c>
      <c r="XAB147" t="str">
        <f>IF(ISNUMBER(XAA147),_xlfn.RANK.EQ(XAA147,$XAA$2:$XAA$254,0)+COUNTIF($XAA$2:XAA147,XAA147)-1,"")</f>
        <v/>
      </c>
      <c r="XAC147" s="11" t="str">
        <f t="shared" si="7"/>
        <v/>
      </c>
    </row>
    <row r="148" spans="3:6 16251:16253" x14ac:dyDescent="0.25">
      <c r="C148" s="17" t="str">
        <f t="shared" si="8"/>
        <v/>
      </c>
      <c r="D148" s="3"/>
      <c r="E148" s="6"/>
      <c r="F148" s="9"/>
      <c r="XAA148" t="str">
        <f t="shared" si="6"/>
        <v/>
      </c>
      <c r="XAB148" t="str">
        <f>IF(ISNUMBER(XAA148),_xlfn.RANK.EQ(XAA148,$XAA$2:$XAA$254,0)+COUNTIF($XAA$2:XAA148,XAA148)-1,"")</f>
        <v/>
      </c>
      <c r="XAC148" s="11" t="str">
        <f t="shared" si="7"/>
        <v/>
      </c>
    </row>
    <row r="149" spans="3:6 16251:16253" x14ac:dyDescent="0.25">
      <c r="C149" s="17" t="str">
        <f t="shared" si="8"/>
        <v/>
      </c>
      <c r="D149" s="3"/>
      <c r="E149" s="6"/>
      <c r="F149" s="9"/>
      <c r="XAA149" t="str">
        <f t="shared" si="6"/>
        <v/>
      </c>
      <c r="XAB149" t="str">
        <f>IF(ISNUMBER(XAA149),_xlfn.RANK.EQ(XAA149,$XAA$2:$XAA$254,0)+COUNTIF($XAA$2:XAA149,XAA149)-1,"")</f>
        <v/>
      </c>
      <c r="XAC149" s="11" t="str">
        <f t="shared" si="7"/>
        <v/>
      </c>
    </row>
    <row r="150" spans="3:6 16251:16253" x14ac:dyDescent="0.25">
      <c r="C150" s="17" t="str">
        <f t="shared" si="8"/>
        <v/>
      </c>
      <c r="D150" s="3"/>
      <c r="E150" s="6"/>
      <c r="F150" s="9"/>
      <c r="XAA150" t="str">
        <f t="shared" si="6"/>
        <v/>
      </c>
      <c r="XAB150" t="str">
        <f>IF(ISNUMBER(XAA150),_xlfn.RANK.EQ(XAA150,$XAA$2:$XAA$254,0)+COUNTIF($XAA$2:XAA150,XAA150)-1,"")</f>
        <v/>
      </c>
      <c r="XAC150" s="11" t="str">
        <f t="shared" si="7"/>
        <v/>
      </c>
    </row>
    <row r="151" spans="3:6 16251:16253" x14ac:dyDescent="0.25">
      <c r="C151" s="17" t="str">
        <f t="shared" si="8"/>
        <v/>
      </c>
      <c r="D151" s="3"/>
      <c r="E151" s="6"/>
      <c r="F151" s="9"/>
      <c r="XAA151" t="str">
        <f t="shared" si="6"/>
        <v/>
      </c>
      <c r="XAB151" t="str">
        <f>IF(ISNUMBER(XAA151),_xlfn.RANK.EQ(XAA151,$XAA$2:$XAA$254,0)+COUNTIF($XAA$2:XAA151,XAA151)-1,"")</f>
        <v/>
      </c>
      <c r="XAC151" s="11" t="str">
        <f t="shared" si="7"/>
        <v/>
      </c>
    </row>
    <row r="152" spans="3:6 16251:16253" x14ac:dyDescent="0.25">
      <c r="C152" s="17" t="str">
        <f t="shared" si="8"/>
        <v/>
      </c>
      <c r="D152" s="3"/>
      <c r="E152" s="6"/>
      <c r="F152" s="9"/>
      <c r="XAA152" t="str">
        <f t="shared" si="6"/>
        <v/>
      </c>
      <c r="XAB152" t="str">
        <f>IF(ISNUMBER(XAA152),_xlfn.RANK.EQ(XAA152,$XAA$2:$XAA$254,0)+COUNTIF($XAA$2:XAA152,XAA152)-1,"")</f>
        <v/>
      </c>
      <c r="XAC152" s="11" t="str">
        <f t="shared" si="7"/>
        <v/>
      </c>
    </row>
    <row r="153" spans="3:6 16251:16253" x14ac:dyDescent="0.25">
      <c r="C153" s="17" t="str">
        <f t="shared" si="8"/>
        <v/>
      </c>
      <c r="D153" s="3"/>
      <c r="E153" s="6"/>
      <c r="F153" s="9"/>
      <c r="XAA153" t="str">
        <f t="shared" si="6"/>
        <v/>
      </c>
      <c r="XAB153" t="str">
        <f>IF(ISNUMBER(XAA153),_xlfn.RANK.EQ(XAA153,$XAA$2:$XAA$254,0)+COUNTIF($XAA$2:XAA153,XAA153)-1,"")</f>
        <v/>
      </c>
      <c r="XAC153" s="11" t="str">
        <f t="shared" si="7"/>
        <v/>
      </c>
    </row>
    <row r="154" spans="3:6 16251:16253" x14ac:dyDescent="0.25">
      <c r="C154" s="17" t="str">
        <f t="shared" si="8"/>
        <v/>
      </c>
      <c r="D154" s="3"/>
      <c r="E154" s="6"/>
      <c r="F154" s="9"/>
      <c r="XAA154" t="str">
        <f t="shared" si="6"/>
        <v/>
      </c>
      <c r="XAB154" t="str">
        <f>IF(ISNUMBER(XAA154),_xlfn.RANK.EQ(XAA154,$XAA$2:$XAA$254,0)+COUNTIF($XAA$2:XAA154,XAA154)-1,"")</f>
        <v/>
      </c>
      <c r="XAC154" s="11" t="str">
        <f t="shared" si="7"/>
        <v/>
      </c>
    </row>
    <row r="155" spans="3:6 16251:16253" x14ac:dyDescent="0.25">
      <c r="C155" s="17" t="str">
        <f t="shared" si="8"/>
        <v/>
      </c>
      <c r="D155" s="3"/>
      <c r="E155" s="6"/>
      <c r="F155" s="9"/>
      <c r="XAA155" t="str">
        <f t="shared" si="6"/>
        <v/>
      </c>
      <c r="XAB155" t="str">
        <f>IF(ISNUMBER(XAA155),_xlfn.RANK.EQ(XAA155,$XAA$2:$XAA$254,0)+COUNTIF($XAA$2:XAA155,XAA155)-1,"")</f>
        <v/>
      </c>
      <c r="XAC155" s="11" t="str">
        <f t="shared" si="7"/>
        <v/>
      </c>
    </row>
    <row r="156" spans="3:6 16251:16253" x14ac:dyDescent="0.25">
      <c r="C156" s="17" t="str">
        <f t="shared" si="8"/>
        <v/>
      </c>
      <c r="D156" s="3"/>
      <c r="E156" s="6"/>
      <c r="F156" s="9"/>
      <c r="XAA156" t="str">
        <f t="shared" si="6"/>
        <v/>
      </c>
      <c r="XAB156" t="str">
        <f>IF(ISNUMBER(XAA156),_xlfn.RANK.EQ(XAA156,$XAA$2:$XAA$254,0)+COUNTIF($XAA$2:XAA156,XAA156)-1,"")</f>
        <v/>
      </c>
      <c r="XAC156" s="11" t="str">
        <f t="shared" si="7"/>
        <v/>
      </c>
    </row>
    <row r="157" spans="3:6 16251:16253" x14ac:dyDescent="0.25">
      <c r="C157" s="17" t="str">
        <f t="shared" si="8"/>
        <v/>
      </c>
      <c r="D157" s="3"/>
      <c r="E157" s="6"/>
      <c r="F157" s="9"/>
      <c r="XAA157" t="str">
        <f t="shared" si="6"/>
        <v/>
      </c>
      <c r="XAB157" t="str">
        <f>IF(ISNUMBER(XAA157),_xlfn.RANK.EQ(XAA157,$XAA$2:$XAA$254,0)+COUNTIF($XAA$2:XAA157,XAA157)-1,"")</f>
        <v/>
      </c>
      <c r="XAC157" s="11" t="str">
        <f t="shared" si="7"/>
        <v/>
      </c>
    </row>
    <row r="158" spans="3:6 16251:16253" x14ac:dyDescent="0.25">
      <c r="C158" s="17" t="str">
        <f t="shared" si="8"/>
        <v/>
      </c>
      <c r="D158" s="3"/>
      <c r="E158" s="6"/>
      <c r="F158" s="9"/>
      <c r="XAA158" t="str">
        <f t="shared" si="6"/>
        <v/>
      </c>
      <c r="XAB158" t="str">
        <f>IF(ISNUMBER(XAA158),_xlfn.RANK.EQ(XAA158,$XAA$2:$XAA$254,0)+COUNTIF($XAA$2:XAA158,XAA158)-1,"")</f>
        <v/>
      </c>
      <c r="XAC158" s="11" t="str">
        <f t="shared" si="7"/>
        <v/>
      </c>
    </row>
    <row r="159" spans="3:6 16251:16253" x14ac:dyDescent="0.25">
      <c r="C159" s="17" t="str">
        <f t="shared" si="8"/>
        <v/>
      </c>
      <c r="D159" s="3"/>
      <c r="E159" s="6"/>
      <c r="F159" s="9"/>
      <c r="XAA159" t="str">
        <f t="shared" si="6"/>
        <v/>
      </c>
      <c r="XAB159" t="str">
        <f>IF(ISNUMBER(XAA159),_xlfn.RANK.EQ(XAA159,$XAA$2:$XAA$254,0)+COUNTIF($XAA$2:XAA159,XAA159)-1,"")</f>
        <v/>
      </c>
      <c r="XAC159" s="11" t="str">
        <f t="shared" si="7"/>
        <v/>
      </c>
    </row>
    <row r="160" spans="3:6 16251:16253" x14ac:dyDescent="0.25">
      <c r="C160" s="17" t="str">
        <f t="shared" si="8"/>
        <v/>
      </c>
      <c r="D160" s="3"/>
      <c r="E160" s="6"/>
      <c r="F160" s="9"/>
      <c r="XAA160" t="str">
        <f t="shared" si="6"/>
        <v/>
      </c>
      <c r="XAB160" t="str">
        <f>IF(ISNUMBER(XAA160),_xlfn.RANK.EQ(XAA160,$XAA$2:$XAA$254,0)+COUNTIF($XAA$2:XAA160,XAA160)-1,"")</f>
        <v/>
      </c>
      <c r="XAC160" s="11" t="str">
        <f t="shared" si="7"/>
        <v/>
      </c>
    </row>
    <row r="161" spans="3:6 16251:16253" x14ac:dyDescent="0.25">
      <c r="C161" s="17" t="str">
        <f t="shared" si="8"/>
        <v/>
      </c>
      <c r="D161" s="3"/>
      <c r="E161" s="6"/>
      <c r="F161" s="9"/>
      <c r="XAA161" t="str">
        <f t="shared" si="6"/>
        <v/>
      </c>
      <c r="XAB161" t="str">
        <f>IF(ISNUMBER(XAA161),_xlfn.RANK.EQ(XAA161,$XAA$2:$XAA$254,0)+COUNTIF($XAA$2:XAA161,XAA161)-1,"")</f>
        <v/>
      </c>
      <c r="XAC161" s="11" t="str">
        <f t="shared" si="7"/>
        <v/>
      </c>
    </row>
    <row r="162" spans="3:6 16251:16253" x14ac:dyDescent="0.25">
      <c r="C162" s="17" t="str">
        <f t="shared" si="8"/>
        <v/>
      </c>
      <c r="D162" s="3"/>
      <c r="E162" s="6"/>
      <c r="F162" s="9"/>
      <c r="XAA162" t="str">
        <f t="shared" si="6"/>
        <v/>
      </c>
      <c r="XAB162" t="str">
        <f>IF(ISNUMBER(XAA162),_xlfn.RANK.EQ(XAA162,$XAA$2:$XAA$254,0)+COUNTIF($XAA$2:XAA162,XAA162)-1,"")</f>
        <v/>
      </c>
      <c r="XAC162" s="11" t="str">
        <f t="shared" si="7"/>
        <v/>
      </c>
    </row>
    <row r="163" spans="3:6 16251:16253" x14ac:dyDescent="0.25">
      <c r="C163" s="17" t="str">
        <f t="shared" si="8"/>
        <v/>
      </c>
      <c r="D163" s="3"/>
      <c r="E163" s="6"/>
      <c r="F163" s="9"/>
      <c r="XAA163" t="str">
        <f t="shared" si="6"/>
        <v/>
      </c>
      <c r="XAB163" t="str">
        <f>IF(ISNUMBER(XAA163),_xlfn.RANK.EQ(XAA163,$XAA$2:$XAA$254,0)+COUNTIF($XAA$2:XAA163,XAA163)-1,"")</f>
        <v/>
      </c>
      <c r="XAC163" s="11" t="str">
        <f t="shared" si="7"/>
        <v/>
      </c>
    </row>
    <row r="164" spans="3:6 16251:16253" x14ac:dyDescent="0.25">
      <c r="C164" s="17" t="str">
        <f t="shared" si="8"/>
        <v/>
      </c>
      <c r="D164" s="3"/>
      <c r="E164" s="6"/>
      <c r="F164" s="9"/>
      <c r="XAA164" t="str">
        <f t="shared" si="6"/>
        <v/>
      </c>
      <c r="XAB164" t="str">
        <f>IF(ISNUMBER(XAA164),_xlfn.RANK.EQ(XAA164,$XAA$2:$XAA$254,0)+COUNTIF($XAA$2:XAA164,XAA164)-1,"")</f>
        <v/>
      </c>
      <c r="XAC164" s="11" t="str">
        <f t="shared" si="7"/>
        <v/>
      </c>
    </row>
    <row r="165" spans="3:6 16251:16253" x14ac:dyDescent="0.25">
      <c r="C165" s="17" t="str">
        <f t="shared" si="8"/>
        <v/>
      </c>
      <c r="D165" s="3"/>
      <c r="E165" s="6"/>
      <c r="F165" s="9"/>
      <c r="XAA165" t="str">
        <f t="shared" si="6"/>
        <v/>
      </c>
      <c r="XAB165" t="str">
        <f>IF(ISNUMBER(XAA165),_xlfn.RANK.EQ(XAA165,$XAA$2:$XAA$254,0)+COUNTIF($XAA$2:XAA165,XAA165)-1,"")</f>
        <v/>
      </c>
      <c r="XAC165" s="11" t="str">
        <f t="shared" si="7"/>
        <v/>
      </c>
    </row>
    <row r="166" spans="3:6 16251:16253" x14ac:dyDescent="0.25">
      <c r="C166" s="17" t="str">
        <f t="shared" si="8"/>
        <v/>
      </c>
      <c r="D166" s="3"/>
      <c r="E166" s="6"/>
      <c r="F166" s="9"/>
      <c r="XAA166" t="str">
        <f t="shared" si="6"/>
        <v/>
      </c>
      <c r="XAB166" t="str">
        <f>IF(ISNUMBER(XAA166),_xlfn.RANK.EQ(XAA166,$XAA$2:$XAA$254,0)+COUNTIF($XAA$2:XAA166,XAA166)-1,"")</f>
        <v/>
      </c>
      <c r="XAC166" s="11" t="str">
        <f t="shared" si="7"/>
        <v/>
      </c>
    </row>
    <row r="167" spans="3:6 16251:16253" x14ac:dyDescent="0.25">
      <c r="C167" s="17" t="str">
        <f t="shared" si="8"/>
        <v/>
      </c>
      <c r="D167" s="3"/>
      <c r="E167" s="6"/>
      <c r="F167" s="9"/>
      <c r="XAA167" t="str">
        <f t="shared" si="6"/>
        <v/>
      </c>
      <c r="XAB167" t="str">
        <f>IF(ISNUMBER(XAA167),_xlfn.RANK.EQ(XAA167,$XAA$2:$XAA$254,0)+COUNTIF($XAA$2:XAA167,XAA167)-1,"")</f>
        <v/>
      </c>
      <c r="XAC167" s="11" t="str">
        <f t="shared" si="7"/>
        <v/>
      </c>
    </row>
    <row r="168" spans="3:6 16251:16253" x14ac:dyDescent="0.25">
      <c r="C168" s="17" t="str">
        <f t="shared" si="8"/>
        <v/>
      </c>
      <c r="D168" s="3"/>
      <c r="E168" s="6"/>
      <c r="F168" s="9"/>
      <c r="XAA168" t="str">
        <f t="shared" si="6"/>
        <v/>
      </c>
      <c r="XAB168" t="str">
        <f>IF(ISNUMBER(XAA168),_xlfn.RANK.EQ(XAA168,$XAA$2:$XAA$254,0)+COUNTIF($XAA$2:XAA168,XAA168)-1,"")</f>
        <v/>
      </c>
      <c r="XAC168" s="11" t="str">
        <f t="shared" si="7"/>
        <v/>
      </c>
    </row>
    <row r="169" spans="3:6 16251:16253" x14ac:dyDescent="0.25">
      <c r="C169" s="17" t="str">
        <f t="shared" si="8"/>
        <v/>
      </c>
      <c r="D169" s="3"/>
      <c r="E169" s="6"/>
      <c r="F169" s="9"/>
      <c r="XAA169" t="str">
        <f t="shared" si="6"/>
        <v/>
      </c>
      <c r="XAB169" t="str">
        <f>IF(ISNUMBER(XAA169),_xlfn.RANK.EQ(XAA169,$XAA$2:$XAA$254,0)+COUNTIF($XAA$2:XAA169,XAA169)-1,"")</f>
        <v/>
      </c>
      <c r="XAC169" s="11" t="str">
        <f t="shared" si="7"/>
        <v/>
      </c>
    </row>
    <row r="170" spans="3:6 16251:16253" x14ac:dyDescent="0.25">
      <c r="C170" s="17" t="str">
        <f t="shared" si="8"/>
        <v/>
      </c>
      <c r="D170" s="3"/>
      <c r="E170" s="6"/>
      <c r="F170" s="9"/>
      <c r="XAA170" t="str">
        <f t="shared" si="6"/>
        <v/>
      </c>
      <c r="XAB170" t="str">
        <f>IF(ISNUMBER(XAA170),_xlfn.RANK.EQ(XAA170,$XAA$2:$XAA$254,0)+COUNTIF($XAA$2:XAA170,XAA170)-1,"")</f>
        <v/>
      </c>
      <c r="XAC170" s="11" t="str">
        <f t="shared" si="7"/>
        <v/>
      </c>
    </row>
    <row r="171" spans="3:6 16251:16253" x14ac:dyDescent="0.25">
      <c r="C171" s="17" t="str">
        <f t="shared" si="8"/>
        <v/>
      </c>
      <c r="D171" s="3"/>
      <c r="E171" s="6"/>
      <c r="F171" s="9"/>
      <c r="XAA171" t="str">
        <f t="shared" si="6"/>
        <v/>
      </c>
      <c r="XAB171" t="str">
        <f>IF(ISNUMBER(XAA171),_xlfn.RANK.EQ(XAA171,$XAA$2:$XAA$254,0)+COUNTIF($XAA$2:XAA171,XAA171)-1,"")</f>
        <v/>
      </c>
      <c r="XAC171" s="11" t="str">
        <f t="shared" si="7"/>
        <v/>
      </c>
    </row>
    <row r="172" spans="3:6 16251:16253" x14ac:dyDescent="0.25">
      <c r="C172" s="17" t="str">
        <f t="shared" si="8"/>
        <v/>
      </c>
      <c r="D172" s="3"/>
      <c r="E172" s="6"/>
      <c r="F172" s="9"/>
      <c r="XAA172" t="str">
        <f t="shared" si="6"/>
        <v/>
      </c>
      <c r="XAB172" t="str">
        <f>IF(ISNUMBER(XAA172),_xlfn.RANK.EQ(XAA172,$XAA$2:$XAA$254,0)+COUNTIF($XAA$2:XAA172,XAA172)-1,"")</f>
        <v/>
      </c>
      <c r="XAC172" s="11" t="str">
        <f t="shared" si="7"/>
        <v/>
      </c>
    </row>
    <row r="173" spans="3:6 16251:16253" x14ac:dyDescent="0.25">
      <c r="C173" s="17" t="str">
        <f t="shared" si="8"/>
        <v/>
      </c>
      <c r="D173" s="3"/>
      <c r="E173" s="6"/>
      <c r="F173" s="9"/>
      <c r="XAA173" t="str">
        <f t="shared" si="6"/>
        <v/>
      </c>
      <c r="XAB173" t="str">
        <f>IF(ISNUMBER(XAA173),_xlfn.RANK.EQ(XAA173,$XAA$2:$XAA$254,0)+COUNTIF($XAA$2:XAA173,XAA173)-1,"")</f>
        <v/>
      </c>
      <c r="XAC173" s="11" t="str">
        <f t="shared" si="7"/>
        <v/>
      </c>
    </row>
    <row r="174" spans="3:6 16251:16253" x14ac:dyDescent="0.25">
      <c r="C174" s="17" t="str">
        <f t="shared" si="8"/>
        <v/>
      </c>
      <c r="D174" s="3"/>
      <c r="E174" s="6"/>
      <c r="F174" s="9"/>
      <c r="XAA174" t="str">
        <f t="shared" si="6"/>
        <v/>
      </c>
      <c r="XAB174" t="str">
        <f>IF(ISNUMBER(XAA174),_xlfn.RANK.EQ(XAA174,$XAA$2:$XAA$254,0)+COUNTIF($XAA$2:XAA174,XAA174)-1,"")</f>
        <v/>
      </c>
      <c r="XAC174" s="11" t="str">
        <f t="shared" si="7"/>
        <v/>
      </c>
    </row>
    <row r="175" spans="3:6 16251:16253" x14ac:dyDescent="0.25">
      <c r="C175" s="17" t="str">
        <f t="shared" si="8"/>
        <v/>
      </c>
      <c r="D175" s="3"/>
      <c r="E175" s="6"/>
      <c r="F175" s="9"/>
      <c r="XAA175" t="str">
        <f t="shared" si="6"/>
        <v/>
      </c>
      <c r="XAB175" t="str">
        <f>IF(ISNUMBER(XAA175),_xlfn.RANK.EQ(XAA175,$XAA$2:$XAA$254,0)+COUNTIF($XAA$2:XAA175,XAA175)-1,"")</f>
        <v/>
      </c>
      <c r="XAC175" s="11" t="str">
        <f t="shared" si="7"/>
        <v/>
      </c>
    </row>
    <row r="176" spans="3:6 16251:16253" x14ac:dyDescent="0.25">
      <c r="C176" s="17" t="str">
        <f t="shared" si="8"/>
        <v/>
      </c>
      <c r="D176" s="3"/>
      <c r="E176" s="6"/>
      <c r="F176" s="9"/>
      <c r="XAA176" t="str">
        <f t="shared" si="6"/>
        <v/>
      </c>
      <c r="XAB176" t="str">
        <f>IF(ISNUMBER(XAA176),_xlfn.RANK.EQ(XAA176,$XAA$2:$XAA$254,0)+COUNTIF($XAA$2:XAA176,XAA176)-1,"")</f>
        <v/>
      </c>
      <c r="XAC176" s="11" t="str">
        <f t="shared" si="7"/>
        <v/>
      </c>
    </row>
    <row r="177" spans="3:6 16251:16253" x14ac:dyDescent="0.25">
      <c r="C177" s="17" t="str">
        <f t="shared" si="8"/>
        <v/>
      </c>
      <c r="D177" s="3"/>
      <c r="E177" s="6"/>
      <c r="F177" s="9"/>
      <c r="XAA177" t="str">
        <f t="shared" si="6"/>
        <v/>
      </c>
      <c r="XAB177" t="str">
        <f>IF(ISNUMBER(XAA177),_xlfn.RANK.EQ(XAA177,$XAA$2:$XAA$254,0)+COUNTIF($XAA$2:XAA177,XAA177)-1,"")</f>
        <v/>
      </c>
      <c r="XAC177" s="11" t="str">
        <f t="shared" si="7"/>
        <v/>
      </c>
    </row>
    <row r="178" spans="3:6 16251:16253" x14ac:dyDescent="0.25">
      <c r="C178" s="17" t="str">
        <f t="shared" si="8"/>
        <v/>
      </c>
      <c r="D178" s="3"/>
      <c r="E178" s="6"/>
      <c r="F178" s="9"/>
      <c r="XAA178" t="str">
        <f t="shared" si="6"/>
        <v/>
      </c>
      <c r="XAB178" t="str">
        <f>IF(ISNUMBER(XAA178),_xlfn.RANK.EQ(XAA178,$XAA$2:$XAA$254,0)+COUNTIF($XAA$2:XAA178,XAA178)-1,"")</f>
        <v/>
      </c>
      <c r="XAC178" s="11" t="str">
        <f t="shared" si="7"/>
        <v/>
      </c>
    </row>
    <row r="179" spans="3:6 16251:16253" x14ac:dyDescent="0.25">
      <c r="C179" s="17" t="str">
        <f t="shared" si="8"/>
        <v/>
      </c>
      <c r="D179" s="3"/>
      <c r="E179" s="6"/>
      <c r="F179" s="9"/>
      <c r="XAA179" t="str">
        <f t="shared" si="6"/>
        <v/>
      </c>
      <c r="XAB179" t="str">
        <f>IF(ISNUMBER(XAA179),_xlfn.RANK.EQ(XAA179,$XAA$2:$XAA$254,0)+COUNTIF($XAA$2:XAA179,XAA179)-1,"")</f>
        <v/>
      </c>
      <c r="XAC179" s="11" t="str">
        <f t="shared" si="7"/>
        <v/>
      </c>
    </row>
    <row r="180" spans="3:6 16251:16253" x14ac:dyDescent="0.25">
      <c r="C180" s="17" t="str">
        <f t="shared" si="8"/>
        <v/>
      </c>
      <c r="D180" s="3"/>
      <c r="E180" s="6"/>
      <c r="F180" s="9"/>
      <c r="XAA180" t="str">
        <f t="shared" si="6"/>
        <v/>
      </c>
      <c r="XAB180" t="str">
        <f>IF(ISNUMBER(XAA180),_xlfn.RANK.EQ(XAA180,$XAA$2:$XAA$254,0)+COUNTIF($XAA$2:XAA180,XAA180)-1,"")</f>
        <v/>
      </c>
      <c r="XAC180" s="11" t="str">
        <f t="shared" si="7"/>
        <v/>
      </c>
    </row>
    <row r="181" spans="3:6 16251:16253" x14ac:dyDescent="0.25">
      <c r="C181" s="17" t="str">
        <f t="shared" si="8"/>
        <v/>
      </c>
      <c r="D181" s="3"/>
      <c r="E181" s="6"/>
      <c r="F181" s="9"/>
      <c r="XAA181" t="str">
        <f t="shared" si="6"/>
        <v/>
      </c>
      <c r="XAB181" t="str">
        <f>IF(ISNUMBER(XAA181),_xlfn.RANK.EQ(XAA181,$XAA$2:$XAA$254,0)+COUNTIF($XAA$2:XAA181,XAA181)-1,"")</f>
        <v/>
      </c>
      <c r="XAC181" s="11" t="str">
        <f t="shared" si="7"/>
        <v/>
      </c>
    </row>
    <row r="182" spans="3:6 16251:16253" x14ac:dyDescent="0.25">
      <c r="C182" s="17" t="str">
        <f t="shared" si="8"/>
        <v/>
      </c>
      <c r="D182" s="3"/>
      <c r="E182" s="6"/>
      <c r="F182" s="9"/>
      <c r="XAA182" t="str">
        <f t="shared" si="6"/>
        <v/>
      </c>
      <c r="XAB182" t="str">
        <f>IF(ISNUMBER(XAA182),_xlfn.RANK.EQ(XAA182,$XAA$2:$XAA$254,0)+COUNTIF($XAA$2:XAA182,XAA182)-1,"")</f>
        <v/>
      </c>
      <c r="XAC182" s="11" t="str">
        <f t="shared" si="7"/>
        <v/>
      </c>
    </row>
    <row r="183" spans="3:6 16251:16253" x14ac:dyDescent="0.25">
      <c r="C183" s="17" t="str">
        <f t="shared" si="8"/>
        <v/>
      </c>
      <c r="D183" s="3"/>
      <c r="E183" s="6"/>
      <c r="F183" s="9"/>
      <c r="XAA183" t="str">
        <f t="shared" si="6"/>
        <v/>
      </c>
      <c r="XAB183" t="str">
        <f>IF(ISNUMBER(XAA183),_xlfn.RANK.EQ(XAA183,$XAA$2:$XAA$254,0)+COUNTIF($XAA$2:XAA183,XAA183)-1,"")</f>
        <v/>
      </c>
      <c r="XAC183" s="11" t="str">
        <f t="shared" si="7"/>
        <v/>
      </c>
    </row>
    <row r="184" spans="3:6 16251:16253" x14ac:dyDescent="0.25">
      <c r="C184" s="17" t="str">
        <f t="shared" si="8"/>
        <v/>
      </c>
      <c r="D184" s="3"/>
      <c r="E184" s="6"/>
      <c r="F184" s="9"/>
      <c r="XAA184" t="str">
        <f t="shared" si="6"/>
        <v/>
      </c>
      <c r="XAB184" t="str">
        <f>IF(ISNUMBER(XAA184),_xlfn.RANK.EQ(XAA184,$XAA$2:$XAA$254,0)+COUNTIF($XAA$2:XAA184,XAA184)-1,"")</f>
        <v/>
      </c>
      <c r="XAC184" s="11" t="str">
        <f t="shared" si="7"/>
        <v/>
      </c>
    </row>
    <row r="185" spans="3:6 16251:16253" x14ac:dyDescent="0.25">
      <c r="C185" s="17" t="str">
        <f t="shared" si="8"/>
        <v/>
      </c>
      <c r="D185" s="3"/>
      <c r="E185" s="6"/>
      <c r="F185" s="9"/>
      <c r="XAA185" t="str">
        <f t="shared" si="6"/>
        <v/>
      </c>
      <c r="XAB185" t="str">
        <f>IF(ISNUMBER(XAA185),_xlfn.RANK.EQ(XAA185,$XAA$2:$XAA$254,0)+COUNTIF($XAA$2:XAA185,XAA185)-1,"")</f>
        <v/>
      </c>
      <c r="XAC185" s="11" t="str">
        <f t="shared" si="7"/>
        <v/>
      </c>
    </row>
    <row r="186" spans="3:6 16251:16253" x14ac:dyDescent="0.25">
      <c r="C186" s="17" t="str">
        <f t="shared" si="8"/>
        <v/>
      </c>
      <c r="D186" s="3"/>
      <c r="E186" s="6"/>
      <c r="F186" s="9"/>
      <c r="XAA186" t="str">
        <f t="shared" si="6"/>
        <v/>
      </c>
      <c r="XAB186" t="str">
        <f>IF(ISNUMBER(XAA186),_xlfn.RANK.EQ(XAA186,$XAA$2:$XAA$254,0)+COUNTIF($XAA$2:XAA186,XAA186)-1,"")</f>
        <v/>
      </c>
      <c r="XAC186" s="11" t="str">
        <f t="shared" si="7"/>
        <v/>
      </c>
    </row>
    <row r="187" spans="3:6 16251:16253" x14ac:dyDescent="0.25">
      <c r="C187" s="17" t="str">
        <f t="shared" si="8"/>
        <v/>
      </c>
      <c r="D187" s="3"/>
      <c r="E187" s="6"/>
      <c r="F187" s="9"/>
      <c r="XAA187" t="str">
        <f t="shared" si="6"/>
        <v/>
      </c>
      <c r="XAB187" t="str">
        <f>IF(ISNUMBER(XAA187),_xlfn.RANK.EQ(XAA187,$XAA$2:$XAA$254,0)+COUNTIF($XAA$2:XAA187,XAA187)-1,"")</f>
        <v/>
      </c>
      <c r="XAC187" s="11" t="str">
        <f t="shared" si="7"/>
        <v/>
      </c>
    </row>
    <row r="188" spans="3:6 16251:16253" x14ac:dyDescent="0.25">
      <c r="C188" s="17" t="str">
        <f t="shared" si="8"/>
        <v/>
      </c>
      <c r="D188" s="3"/>
      <c r="E188" s="6"/>
      <c r="F188" s="9"/>
      <c r="XAA188" t="str">
        <f t="shared" si="6"/>
        <v/>
      </c>
      <c r="XAB188" t="str">
        <f>IF(ISNUMBER(XAA188),_xlfn.RANK.EQ(XAA188,$XAA$2:$XAA$254,0)+COUNTIF($XAA$2:XAA188,XAA188)-1,"")</f>
        <v/>
      </c>
      <c r="XAC188" s="11" t="str">
        <f t="shared" si="7"/>
        <v/>
      </c>
    </row>
    <row r="189" spans="3:6 16251:16253" x14ac:dyDescent="0.25">
      <c r="C189" s="17" t="str">
        <f t="shared" si="8"/>
        <v/>
      </c>
      <c r="D189" s="3"/>
      <c r="E189" s="6"/>
      <c r="F189" s="9"/>
      <c r="XAA189" t="str">
        <f t="shared" si="6"/>
        <v/>
      </c>
      <c r="XAB189" t="str">
        <f>IF(ISNUMBER(XAA189),_xlfn.RANK.EQ(XAA189,$XAA$2:$XAA$254,0)+COUNTIF($XAA$2:XAA189,XAA189)-1,"")</f>
        <v/>
      </c>
      <c r="XAC189" s="11" t="str">
        <f t="shared" si="7"/>
        <v/>
      </c>
    </row>
    <row r="190" spans="3:6 16251:16253" x14ac:dyDescent="0.25">
      <c r="C190" s="17" t="str">
        <f t="shared" si="8"/>
        <v/>
      </c>
      <c r="D190" s="3"/>
      <c r="E190" s="6"/>
      <c r="F190" s="9"/>
      <c r="XAA190" t="str">
        <f t="shared" si="6"/>
        <v/>
      </c>
      <c r="XAB190" t="str">
        <f>IF(ISNUMBER(XAA190),_xlfn.RANK.EQ(XAA190,$XAA$2:$XAA$254,0)+COUNTIF($XAA$2:XAA190,XAA190)-1,"")</f>
        <v/>
      </c>
      <c r="XAC190" s="11" t="str">
        <f t="shared" si="7"/>
        <v/>
      </c>
    </row>
    <row r="191" spans="3:6 16251:16253" x14ac:dyDescent="0.25">
      <c r="C191" s="17" t="str">
        <f t="shared" si="8"/>
        <v/>
      </c>
      <c r="D191" s="3"/>
      <c r="E191" s="6"/>
      <c r="F191" s="9"/>
      <c r="XAA191" t="str">
        <f t="shared" si="6"/>
        <v/>
      </c>
      <c r="XAB191" t="str">
        <f>IF(ISNUMBER(XAA191),_xlfn.RANK.EQ(XAA191,$XAA$2:$XAA$254,0)+COUNTIF($XAA$2:XAA191,XAA191)-1,"")</f>
        <v/>
      </c>
      <c r="XAC191" s="11" t="str">
        <f t="shared" si="7"/>
        <v/>
      </c>
    </row>
    <row r="192" spans="3:6 16251:16253" x14ac:dyDescent="0.25">
      <c r="C192" s="17" t="str">
        <f t="shared" si="8"/>
        <v/>
      </c>
      <c r="D192" s="3"/>
      <c r="E192" s="6"/>
      <c r="F192" s="9"/>
      <c r="XAA192" t="str">
        <f t="shared" ref="XAA192:XAA254" si="9">IF(ISNUMBER(SEARCH($WZS$4,XAC192)),1,"")</f>
        <v/>
      </c>
      <c r="XAB192" t="str">
        <f>IF(ISNUMBER(XAA192),_xlfn.RANK.EQ(XAA192,$XAA$2:$XAA$254,0)+COUNTIF($XAA$2:XAA192,XAA192)-1,"")</f>
        <v/>
      </c>
      <c r="XAC192" s="11" t="str">
        <f t="shared" ref="XAC192:XAC254" si="10">IF($I$4="S",SUBSTITUTE(D192," ",""),SUBSTITUTE(SUBSTITUTE(SUBSTITUTE(SUBSTITUTE(SUBSTITUTE(SUBSTITUTE(SUBSTITUTE(SUBSTITUTE(SUBSTITUTE(SUBSTITUTE(SUBSTITUTE(SUBSTITUTE(SUBSTITUTE(SUBSTITUTE(SUBSTITUTE(SUBSTITUTE(SUBSTITUTE(SUBSTITUTE(SUBSTITUTE(SUBSTITUTE(SUBSTITUTE(SUBSTITUTE(SUBSTITUTE(SUBSTITUTE(SUBSTITUTE(SUBSTITUTE(SUBSTITUTE(LOWER(D192)," ",""),"ã","a"),"á","a"),"à","a"),"â","a"),"é","e"),"ê","e"),"í","i"),"ó","o"),"õ","o"),"ô","o"),"ú","u"),"ü","u"),"ç","c"),"“",""),"”",""),",",""),";",""),"(",""),")",""),"+",""),"-",""),".",""),"–",""),"‘",""),"’",""),"+","+"))</f>
        <v/>
      </c>
    </row>
    <row r="193" spans="3:6 16251:16253" x14ac:dyDescent="0.25">
      <c r="C193" s="17" t="str">
        <f t="shared" ref="C193:C254" si="11">XAB193</f>
        <v/>
      </c>
      <c r="D193" s="3"/>
      <c r="E193" s="6"/>
      <c r="F193" s="9"/>
      <c r="XAA193" t="str">
        <f t="shared" si="9"/>
        <v/>
      </c>
      <c r="XAB193" t="str">
        <f>IF(ISNUMBER(XAA193),_xlfn.RANK.EQ(XAA193,$XAA$2:$XAA$254,0)+COUNTIF($XAA$2:XAA193,XAA193)-1,"")</f>
        <v/>
      </c>
      <c r="XAC193" s="11" t="str">
        <f t="shared" si="10"/>
        <v/>
      </c>
    </row>
    <row r="194" spans="3:6 16251:16253" x14ac:dyDescent="0.25">
      <c r="C194" s="17" t="str">
        <f t="shared" si="11"/>
        <v/>
      </c>
      <c r="D194" s="3"/>
      <c r="E194" s="6"/>
      <c r="F194" s="9"/>
      <c r="XAA194" t="str">
        <f t="shared" si="9"/>
        <v/>
      </c>
      <c r="XAB194" t="str">
        <f>IF(ISNUMBER(XAA194),_xlfn.RANK.EQ(XAA194,$XAA$2:$XAA$254,0)+COUNTIF($XAA$2:XAA194,XAA194)-1,"")</f>
        <v/>
      </c>
      <c r="XAC194" s="11" t="str">
        <f t="shared" si="10"/>
        <v/>
      </c>
    </row>
    <row r="195" spans="3:6 16251:16253" x14ac:dyDescent="0.25">
      <c r="C195" s="17" t="str">
        <f t="shared" si="11"/>
        <v/>
      </c>
      <c r="D195" s="3"/>
      <c r="E195" s="6"/>
      <c r="F195" s="9"/>
      <c r="XAA195" t="str">
        <f t="shared" si="9"/>
        <v/>
      </c>
      <c r="XAB195" t="str">
        <f>IF(ISNUMBER(XAA195),_xlfn.RANK.EQ(XAA195,$XAA$2:$XAA$254,0)+COUNTIF($XAA$2:XAA195,XAA195)-1,"")</f>
        <v/>
      </c>
      <c r="XAC195" s="11" t="str">
        <f t="shared" si="10"/>
        <v/>
      </c>
    </row>
    <row r="196" spans="3:6 16251:16253" x14ac:dyDescent="0.25">
      <c r="C196" s="17" t="str">
        <f t="shared" si="11"/>
        <v/>
      </c>
      <c r="D196" s="3"/>
      <c r="E196" s="6"/>
      <c r="F196" s="9"/>
      <c r="XAA196" t="str">
        <f t="shared" si="9"/>
        <v/>
      </c>
      <c r="XAB196" t="str">
        <f>IF(ISNUMBER(XAA196),_xlfn.RANK.EQ(XAA196,$XAA$2:$XAA$254,0)+COUNTIF($XAA$2:XAA196,XAA196)-1,"")</f>
        <v/>
      </c>
      <c r="XAC196" s="11" t="str">
        <f t="shared" si="10"/>
        <v/>
      </c>
    </row>
    <row r="197" spans="3:6 16251:16253" x14ac:dyDescent="0.25">
      <c r="C197" s="17" t="str">
        <f t="shared" si="11"/>
        <v/>
      </c>
      <c r="D197" s="3"/>
      <c r="E197" s="6"/>
      <c r="F197" s="9"/>
      <c r="XAA197" t="str">
        <f t="shared" si="9"/>
        <v/>
      </c>
      <c r="XAB197" t="str">
        <f>IF(ISNUMBER(XAA197),_xlfn.RANK.EQ(XAA197,$XAA$2:$XAA$254,0)+COUNTIF($XAA$2:XAA197,XAA197)-1,"")</f>
        <v/>
      </c>
      <c r="XAC197" s="11" t="str">
        <f t="shared" si="10"/>
        <v/>
      </c>
    </row>
    <row r="198" spans="3:6 16251:16253" x14ac:dyDescent="0.25">
      <c r="C198" s="17" t="str">
        <f t="shared" si="11"/>
        <v/>
      </c>
      <c r="D198" s="3"/>
      <c r="E198" s="6"/>
      <c r="F198" s="9"/>
      <c r="XAA198" t="str">
        <f t="shared" si="9"/>
        <v/>
      </c>
      <c r="XAB198" t="str">
        <f>IF(ISNUMBER(XAA198),_xlfn.RANK.EQ(XAA198,$XAA$2:$XAA$254,0)+COUNTIF($XAA$2:XAA198,XAA198)-1,"")</f>
        <v/>
      </c>
      <c r="XAC198" s="11" t="str">
        <f t="shared" si="10"/>
        <v/>
      </c>
    </row>
    <row r="199" spans="3:6 16251:16253" x14ac:dyDescent="0.25">
      <c r="C199" s="17" t="str">
        <f t="shared" si="11"/>
        <v/>
      </c>
      <c r="D199" s="3"/>
      <c r="E199" s="6"/>
      <c r="F199" s="9"/>
      <c r="XAA199" t="str">
        <f t="shared" si="9"/>
        <v/>
      </c>
      <c r="XAB199" t="str">
        <f>IF(ISNUMBER(XAA199),_xlfn.RANK.EQ(XAA199,$XAA$2:$XAA$254,0)+COUNTIF($XAA$2:XAA199,XAA199)-1,"")</f>
        <v/>
      </c>
      <c r="XAC199" s="11" t="str">
        <f t="shared" si="10"/>
        <v/>
      </c>
    </row>
    <row r="200" spans="3:6 16251:16253" x14ac:dyDescent="0.25">
      <c r="C200" s="17" t="str">
        <f t="shared" si="11"/>
        <v/>
      </c>
      <c r="D200" s="3"/>
      <c r="E200" s="6"/>
      <c r="F200" s="9"/>
      <c r="XAA200" t="str">
        <f t="shared" si="9"/>
        <v/>
      </c>
      <c r="XAB200" t="str">
        <f>IF(ISNUMBER(XAA200),_xlfn.RANK.EQ(XAA200,$XAA$2:$XAA$254,0)+COUNTIF($XAA$2:XAA200,XAA200)-1,"")</f>
        <v/>
      </c>
      <c r="XAC200" s="11" t="str">
        <f t="shared" si="10"/>
        <v/>
      </c>
    </row>
    <row r="201" spans="3:6 16251:16253" x14ac:dyDescent="0.25">
      <c r="C201" s="17" t="str">
        <f t="shared" si="11"/>
        <v/>
      </c>
      <c r="D201" s="3"/>
      <c r="E201" s="6"/>
      <c r="F201" s="9"/>
      <c r="XAA201" t="str">
        <f t="shared" si="9"/>
        <v/>
      </c>
      <c r="XAB201" t="str">
        <f>IF(ISNUMBER(XAA201),_xlfn.RANK.EQ(XAA201,$XAA$2:$XAA$254,0)+COUNTIF($XAA$2:XAA201,XAA201)-1,"")</f>
        <v/>
      </c>
      <c r="XAC201" s="11" t="str">
        <f t="shared" si="10"/>
        <v/>
      </c>
    </row>
    <row r="202" spans="3:6 16251:16253" x14ac:dyDescent="0.25">
      <c r="C202" s="17" t="str">
        <f t="shared" si="11"/>
        <v/>
      </c>
      <c r="D202" s="3"/>
      <c r="E202" s="6"/>
      <c r="F202" s="9"/>
      <c r="XAA202" t="str">
        <f t="shared" si="9"/>
        <v/>
      </c>
      <c r="XAB202" t="str">
        <f>IF(ISNUMBER(XAA202),_xlfn.RANK.EQ(XAA202,$XAA$2:$XAA$254,0)+COUNTIF($XAA$2:XAA202,XAA202)-1,"")</f>
        <v/>
      </c>
      <c r="XAC202" s="11" t="str">
        <f t="shared" si="10"/>
        <v/>
      </c>
    </row>
    <row r="203" spans="3:6 16251:16253" x14ac:dyDescent="0.25">
      <c r="C203" s="17" t="str">
        <f t="shared" si="11"/>
        <v/>
      </c>
      <c r="D203" s="3"/>
      <c r="E203" s="6"/>
      <c r="F203" s="9"/>
      <c r="XAA203" t="str">
        <f t="shared" si="9"/>
        <v/>
      </c>
      <c r="XAB203" t="str">
        <f>IF(ISNUMBER(XAA203),_xlfn.RANK.EQ(XAA203,$XAA$2:$XAA$254,0)+COUNTIF($XAA$2:XAA203,XAA203)-1,"")</f>
        <v/>
      </c>
      <c r="XAC203" s="11" t="str">
        <f t="shared" si="10"/>
        <v/>
      </c>
    </row>
    <row r="204" spans="3:6 16251:16253" x14ac:dyDescent="0.25">
      <c r="C204" s="17" t="str">
        <f t="shared" si="11"/>
        <v/>
      </c>
      <c r="D204" s="3"/>
      <c r="E204" s="6"/>
      <c r="F204" s="9"/>
      <c r="XAA204" t="str">
        <f t="shared" si="9"/>
        <v/>
      </c>
      <c r="XAB204" t="str">
        <f>IF(ISNUMBER(XAA204),_xlfn.RANK.EQ(XAA204,$XAA$2:$XAA$254,0)+COUNTIF($XAA$2:XAA204,XAA204)-1,"")</f>
        <v/>
      </c>
      <c r="XAC204" s="11" t="str">
        <f t="shared" si="10"/>
        <v/>
      </c>
    </row>
    <row r="205" spans="3:6 16251:16253" x14ac:dyDescent="0.25">
      <c r="C205" s="17" t="str">
        <f t="shared" si="11"/>
        <v/>
      </c>
      <c r="D205" s="3"/>
      <c r="E205" s="6"/>
      <c r="F205" s="9"/>
      <c r="XAA205" t="str">
        <f t="shared" si="9"/>
        <v/>
      </c>
      <c r="XAB205" t="str">
        <f>IF(ISNUMBER(XAA205),_xlfn.RANK.EQ(XAA205,$XAA$2:$XAA$254,0)+COUNTIF($XAA$2:XAA205,XAA205)-1,"")</f>
        <v/>
      </c>
      <c r="XAC205" s="11" t="str">
        <f t="shared" si="10"/>
        <v/>
      </c>
    </row>
    <row r="206" spans="3:6 16251:16253" x14ac:dyDescent="0.25">
      <c r="C206" s="17" t="str">
        <f t="shared" si="11"/>
        <v/>
      </c>
      <c r="D206" s="3"/>
      <c r="E206" s="6"/>
      <c r="F206" s="9"/>
      <c r="XAA206" t="str">
        <f t="shared" si="9"/>
        <v/>
      </c>
      <c r="XAB206" t="str">
        <f>IF(ISNUMBER(XAA206),_xlfn.RANK.EQ(XAA206,$XAA$2:$XAA$254,0)+COUNTIF($XAA$2:XAA206,XAA206)-1,"")</f>
        <v/>
      </c>
      <c r="XAC206" s="11" t="str">
        <f t="shared" si="10"/>
        <v/>
      </c>
    </row>
    <row r="207" spans="3:6 16251:16253" x14ac:dyDescent="0.25">
      <c r="C207" s="17" t="str">
        <f t="shared" si="11"/>
        <v/>
      </c>
      <c r="D207" s="3"/>
      <c r="E207" s="6"/>
      <c r="F207" s="9"/>
      <c r="XAA207" t="str">
        <f t="shared" si="9"/>
        <v/>
      </c>
      <c r="XAB207" t="str">
        <f>IF(ISNUMBER(XAA207),_xlfn.RANK.EQ(XAA207,$XAA$2:$XAA$254,0)+COUNTIF($XAA$2:XAA207,XAA207)-1,"")</f>
        <v/>
      </c>
      <c r="XAC207" s="11" t="str">
        <f t="shared" si="10"/>
        <v/>
      </c>
    </row>
    <row r="208" spans="3:6 16251:16253" x14ac:dyDescent="0.25">
      <c r="C208" s="17" t="str">
        <f t="shared" si="11"/>
        <v/>
      </c>
      <c r="D208" s="3"/>
      <c r="E208" s="6"/>
      <c r="F208" s="9"/>
      <c r="XAA208" t="str">
        <f t="shared" si="9"/>
        <v/>
      </c>
      <c r="XAB208" t="str">
        <f>IF(ISNUMBER(XAA208),_xlfn.RANK.EQ(XAA208,$XAA$2:$XAA$254,0)+COUNTIF($XAA$2:XAA208,XAA208)-1,"")</f>
        <v/>
      </c>
      <c r="XAC208" s="11" t="str">
        <f t="shared" si="10"/>
        <v/>
      </c>
    </row>
    <row r="209" spans="3:6 16251:16253" x14ac:dyDescent="0.25">
      <c r="C209" s="17" t="str">
        <f t="shared" si="11"/>
        <v/>
      </c>
      <c r="D209" s="3"/>
      <c r="E209" s="6"/>
      <c r="F209" s="9"/>
      <c r="XAA209" t="str">
        <f t="shared" si="9"/>
        <v/>
      </c>
      <c r="XAB209" t="str">
        <f>IF(ISNUMBER(XAA209),_xlfn.RANK.EQ(XAA209,$XAA$2:$XAA$254,0)+COUNTIF($XAA$2:XAA209,XAA209)-1,"")</f>
        <v/>
      </c>
      <c r="XAC209" s="11" t="str">
        <f t="shared" si="10"/>
        <v/>
      </c>
    </row>
    <row r="210" spans="3:6 16251:16253" x14ac:dyDescent="0.25">
      <c r="C210" s="17" t="str">
        <f t="shared" si="11"/>
        <v/>
      </c>
      <c r="D210" s="3"/>
      <c r="E210" s="6"/>
      <c r="F210" s="9"/>
      <c r="XAA210" t="str">
        <f t="shared" si="9"/>
        <v/>
      </c>
      <c r="XAB210" t="str">
        <f>IF(ISNUMBER(XAA210),_xlfn.RANK.EQ(XAA210,$XAA$2:$XAA$254,0)+COUNTIF($XAA$2:XAA210,XAA210)-1,"")</f>
        <v/>
      </c>
      <c r="XAC210" s="11" t="str">
        <f t="shared" si="10"/>
        <v/>
      </c>
    </row>
    <row r="211" spans="3:6 16251:16253" x14ac:dyDescent="0.25">
      <c r="C211" s="17" t="str">
        <f t="shared" si="11"/>
        <v/>
      </c>
      <c r="D211" s="3"/>
      <c r="E211" s="6"/>
      <c r="F211" s="9"/>
      <c r="XAA211" t="str">
        <f t="shared" si="9"/>
        <v/>
      </c>
      <c r="XAB211" t="str">
        <f>IF(ISNUMBER(XAA211),_xlfn.RANK.EQ(XAA211,$XAA$2:$XAA$254,0)+COUNTIF($XAA$2:XAA211,XAA211)-1,"")</f>
        <v/>
      </c>
      <c r="XAC211" s="11" t="str">
        <f t="shared" si="10"/>
        <v/>
      </c>
    </row>
    <row r="212" spans="3:6 16251:16253" x14ac:dyDescent="0.25">
      <c r="C212" s="17" t="str">
        <f t="shared" si="11"/>
        <v/>
      </c>
      <c r="D212" s="3"/>
      <c r="E212" s="6"/>
      <c r="F212" s="9"/>
      <c r="XAA212" t="str">
        <f t="shared" si="9"/>
        <v/>
      </c>
      <c r="XAB212" t="str">
        <f>IF(ISNUMBER(XAA212),_xlfn.RANK.EQ(XAA212,$XAA$2:$XAA$254,0)+COUNTIF($XAA$2:XAA212,XAA212)-1,"")</f>
        <v/>
      </c>
      <c r="XAC212" s="11" t="str">
        <f t="shared" si="10"/>
        <v/>
      </c>
    </row>
    <row r="213" spans="3:6 16251:16253" x14ac:dyDescent="0.25">
      <c r="C213" s="17" t="str">
        <f t="shared" si="11"/>
        <v/>
      </c>
      <c r="D213" s="3"/>
      <c r="E213" s="6"/>
      <c r="F213" s="9"/>
      <c r="XAA213" t="str">
        <f t="shared" si="9"/>
        <v/>
      </c>
      <c r="XAB213" t="str">
        <f>IF(ISNUMBER(XAA213),_xlfn.RANK.EQ(XAA213,$XAA$2:$XAA$254,0)+COUNTIF($XAA$2:XAA213,XAA213)-1,"")</f>
        <v/>
      </c>
      <c r="XAC213" s="11" t="str">
        <f t="shared" si="10"/>
        <v/>
      </c>
    </row>
    <row r="214" spans="3:6 16251:16253" x14ac:dyDescent="0.25">
      <c r="C214" s="17" t="str">
        <f t="shared" si="11"/>
        <v/>
      </c>
      <c r="D214" s="3"/>
      <c r="E214" s="6"/>
      <c r="F214" s="9"/>
      <c r="XAA214" t="str">
        <f t="shared" si="9"/>
        <v/>
      </c>
      <c r="XAB214" t="str">
        <f>IF(ISNUMBER(XAA214),_xlfn.RANK.EQ(XAA214,$XAA$2:$XAA$254,0)+COUNTIF($XAA$2:XAA214,XAA214)-1,"")</f>
        <v/>
      </c>
      <c r="XAC214" s="11" t="str">
        <f t="shared" si="10"/>
        <v/>
      </c>
    </row>
    <row r="215" spans="3:6 16251:16253" x14ac:dyDescent="0.25">
      <c r="C215" s="17" t="str">
        <f t="shared" si="11"/>
        <v/>
      </c>
      <c r="D215" s="3"/>
      <c r="E215" s="6"/>
      <c r="F215" s="9"/>
      <c r="XAA215" t="str">
        <f t="shared" si="9"/>
        <v/>
      </c>
      <c r="XAB215" t="str">
        <f>IF(ISNUMBER(XAA215),_xlfn.RANK.EQ(XAA215,$XAA$2:$XAA$254,0)+COUNTIF($XAA$2:XAA215,XAA215)-1,"")</f>
        <v/>
      </c>
      <c r="XAC215" s="11" t="str">
        <f t="shared" si="10"/>
        <v/>
      </c>
    </row>
    <row r="216" spans="3:6 16251:16253" x14ac:dyDescent="0.25">
      <c r="C216" s="17" t="str">
        <f t="shared" si="11"/>
        <v/>
      </c>
      <c r="D216" s="3"/>
      <c r="E216" s="6"/>
      <c r="F216" s="9"/>
      <c r="XAA216" t="str">
        <f t="shared" si="9"/>
        <v/>
      </c>
      <c r="XAB216" t="str">
        <f>IF(ISNUMBER(XAA216),_xlfn.RANK.EQ(XAA216,$XAA$2:$XAA$254,0)+COUNTIF($XAA$2:XAA216,XAA216)-1,"")</f>
        <v/>
      </c>
      <c r="XAC216" s="11" t="str">
        <f t="shared" si="10"/>
        <v/>
      </c>
    </row>
    <row r="217" spans="3:6 16251:16253" x14ac:dyDescent="0.25">
      <c r="C217" s="17" t="str">
        <f t="shared" si="11"/>
        <v/>
      </c>
      <c r="D217" s="3"/>
      <c r="E217" s="6"/>
      <c r="F217" s="9"/>
      <c r="XAA217" t="str">
        <f t="shared" si="9"/>
        <v/>
      </c>
      <c r="XAB217" t="str">
        <f>IF(ISNUMBER(XAA217),_xlfn.RANK.EQ(XAA217,$XAA$2:$XAA$254,0)+COUNTIF($XAA$2:XAA217,XAA217)-1,"")</f>
        <v/>
      </c>
      <c r="XAC217" s="11" t="str">
        <f t="shared" si="10"/>
        <v/>
      </c>
    </row>
    <row r="218" spans="3:6 16251:16253" x14ac:dyDescent="0.25">
      <c r="C218" s="17" t="str">
        <f t="shared" si="11"/>
        <v/>
      </c>
      <c r="D218" s="3"/>
      <c r="E218" s="6"/>
      <c r="F218" s="9"/>
      <c r="XAA218" t="str">
        <f t="shared" si="9"/>
        <v/>
      </c>
      <c r="XAB218" t="str">
        <f>IF(ISNUMBER(XAA218),_xlfn.RANK.EQ(XAA218,$XAA$2:$XAA$254,0)+COUNTIF($XAA$2:XAA218,XAA218)-1,"")</f>
        <v/>
      </c>
      <c r="XAC218" s="11" t="str">
        <f t="shared" si="10"/>
        <v/>
      </c>
    </row>
    <row r="219" spans="3:6 16251:16253" x14ac:dyDescent="0.25">
      <c r="C219" s="17" t="str">
        <f t="shared" si="11"/>
        <v/>
      </c>
      <c r="D219" s="3"/>
      <c r="E219" s="6"/>
      <c r="F219" s="9"/>
      <c r="XAA219" t="str">
        <f t="shared" si="9"/>
        <v/>
      </c>
      <c r="XAB219" t="str">
        <f>IF(ISNUMBER(XAA219),_xlfn.RANK.EQ(XAA219,$XAA$2:$XAA$254,0)+COUNTIF($XAA$2:XAA219,XAA219)-1,"")</f>
        <v/>
      </c>
      <c r="XAC219" s="11" t="str">
        <f t="shared" si="10"/>
        <v/>
      </c>
    </row>
    <row r="220" spans="3:6 16251:16253" x14ac:dyDescent="0.25">
      <c r="C220" s="17" t="str">
        <f t="shared" si="11"/>
        <v/>
      </c>
      <c r="D220" s="3"/>
      <c r="E220" s="6"/>
      <c r="F220" s="9"/>
      <c r="XAA220" t="str">
        <f t="shared" si="9"/>
        <v/>
      </c>
      <c r="XAB220" t="str">
        <f>IF(ISNUMBER(XAA220),_xlfn.RANK.EQ(XAA220,$XAA$2:$XAA$254,0)+COUNTIF($XAA$2:XAA220,XAA220)-1,"")</f>
        <v/>
      </c>
      <c r="XAC220" s="11" t="str">
        <f t="shared" si="10"/>
        <v/>
      </c>
    </row>
    <row r="221" spans="3:6 16251:16253" x14ac:dyDescent="0.25">
      <c r="C221" s="17" t="str">
        <f t="shared" si="11"/>
        <v/>
      </c>
      <c r="D221" s="3"/>
      <c r="E221" s="6"/>
      <c r="F221" s="9"/>
      <c r="XAA221" t="str">
        <f t="shared" si="9"/>
        <v/>
      </c>
      <c r="XAB221" t="str">
        <f>IF(ISNUMBER(XAA221),_xlfn.RANK.EQ(XAA221,$XAA$2:$XAA$254,0)+COUNTIF($XAA$2:XAA221,XAA221)-1,"")</f>
        <v/>
      </c>
      <c r="XAC221" s="11" t="str">
        <f t="shared" si="10"/>
        <v/>
      </c>
    </row>
    <row r="222" spans="3:6 16251:16253" x14ac:dyDescent="0.25">
      <c r="C222" s="17" t="str">
        <f t="shared" si="11"/>
        <v/>
      </c>
      <c r="D222" s="3"/>
      <c r="E222" s="6"/>
      <c r="F222" s="9"/>
      <c r="XAA222" t="str">
        <f t="shared" si="9"/>
        <v/>
      </c>
      <c r="XAB222" t="str">
        <f>IF(ISNUMBER(XAA222),_xlfn.RANK.EQ(XAA222,$XAA$2:$XAA$254,0)+COUNTIF($XAA$2:XAA222,XAA222)-1,"")</f>
        <v/>
      </c>
      <c r="XAC222" s="11" t="str">
        <f t="shared" si="10"/>
        <v/>
      </c>
    </row>
    <row r="223" spans="3:6 16251:16253" x14ac:dyDescent="0.25">
      <c r="C223" s="17" t="str">
        <f t="shared" si="11"/>
        <v/>
      </c>
      <c r="D223" s="3"/>
      <c r="E223" s="6"/>
      <c r="F223" s="9"/>
      <c r="XAA223" t="str">
        <f t="shared" si="9"/>
        <v/>
      </c>
      <c r="XAB223" t="str">
        <f>IF(ISNUMBER(XAA223),_xlfn.RANK.EQ(XAA223,$XAA$2:$XAA$254,0)+COUNTIF($XAA$2:XAA223,XAA223)-1,"")</f>
        <v/>
      </c>
      <c r="XAC223" s="11" t="str">
        <f t="shared" si="10"/>
        <v/>
      </c>
    </row>
    <row r="224" spans="3:6 16251:16253" x14ac:dyDescent="0.25">
      <c r="C224" s="17" t="str">
        <f t="shared" si="11"/>
        <v/>
      </c>
      <c r="D224" s="3"/>
      <c r="E224" s="6"/>
      <c r="F224" s="9"/>
      <c r="XAA224" t="str">
        <f t="shared" si="9"/>
        <v/>
      </c>
      <c r="XAB224" t="str">
        <f>IF(ISNUMBER(XAA224),_xlfn.RANK.EQ(XAA224,$XAA$2:$XAA$254,0)+COUNTIF($XAA$2:XAA224,XAA224)-1,"")</f>
        <v/>
      </c>
      <c r="XAC224" s="11" t="str">
        <f t="shared" si="10"/>
        <v/>
      </c>
    </row>
    <row r="225" spans="3:6 16251:16253" x14ac:dyDescent="0.25">
      <c r="C225" s="17" t="str">
        <f t="shared" si="11"/>
        <v/>
      </c>
      <c r="D225" s="3"/>
      <c r="E225" s="6"/>
      <c r="F225" s="9"/>
      <c r="XAA225" t="str">
        <f t="shared" si="9"/>
        <v/>
      </c>
      <c r="XAB225" t="str">
        <f>IF(ISNUMBER(XAA225),_xlfn.RANK.EQ(XAA225,$XAA$2:$XAA$254,0)+COUNTIF($XAA$2:XAA225,XAA225)-1,"")</f>
        <v/>
      </c>
      <c r="XAC225" s="11" t="str">
        <f t="shared" si="10"/>
        <v/>
      </c>
    </row>
    <row r="226" spans="3:6 16251:16253" x14ac:dyDescent="0.25">
      <c r="C226" s="17" t="str">
        <f t="shared" si="11"/>
        <v/>
      </c>
      <c r="D226" s="3"/>
      <c r="E226" s="6"/>
      <c r="F226" s="9"/>
      <c r="XAA226" t="str">
        <f t="shared" si="9"/>
        <v/>
      </c>
      <c r="XAB226" t="str">
        <f>IF(ISNUMBER(XAA226),_xlfn.RANK.EQ(XAA226,$XAA$2:$XAA$254,0)+COUNTIF($XAA$2:XAA226,XAA226)-1,"")</f>
        <v/>
      </c>
      <c r="XAC226" s="11" t="str">
        <f t="shared" si="10"/>
        <v/>
      </c>
    </row>
    <row r="227" spans="3:6 16251:16253" x14ac:dyDescent="0.25">
      <c r="C227" s="17" t="str">
        <f t="shared" si="11"/>
        <v/>
      </c>
      <c r="D227" s="3"/>
      <c r="E227" s="6"/>
      <c r="F227" s="9"/>
      <c r="XAA227" t="str">
        <f t="shared" si="9"/>
        <v/>
      </c>
      <c r="XAB227" t="str">
        <f>IF(ISNUMBER(XAA227),_xlfn.RANK.EQ(XAA227,$XAA$2:$XAA$254,0)+COUNTIF($XAA$2:XAA227,XAA227)-1,"")</f>
        <v/>
      </c>
      <c r="XAC227" s="11" t="str">
        <f t="shared" si="10"/>
        <v/>
      </c>
    </row>
    <row r="228" spans="3:6 16251:16253" x14ac:dyDescent="0.25">
      <c r="C228" s="17" t="str">
        <f t="shared" si="11"/>
        <v/>
      </c>
      <c r="D228" s="3"/>
      <c r="E228" s="6"/>
      <c r="F228" s="9"/>
      <c r="XAA228" t="str">
        <f t="shared" si="9"/>
        <v/>
      </c>
      <c r="XAB228" t="str">
        <f>IF(ISNUMBER(XAA228),_xlfn.RANK.EQ(XAA228,$XAA$2:$XAA$254,0)+COUNTIF($XAA$2:XAA228,XAA228)-1,"")</f>
        <v/>
      </c>
      <c r="XAC228" s="11" t="str">
        <f t="shared" si="10"/>
        <v/>
      </c>
    </row>
    <row r="229" spans="3:6 16251:16253" x14ac:dyDescent="0.25">
      <c r="C229" s="17" t="str">
        <f t="shared" si="11"/>
        <v/>
      </c>
      <c r="D229" s="3"/>
      <c r="E229" s="6"/>
      <c r="F229" s="9"/>
      <c r="XAA229" t="str">
        <f t="shared" si="9"/>
        <v/>
      </c>
      <c r="XAB229" t="str">
        <f>IF(ISNUMBER(XAA229),_xlfn.RANK.EQ(XAA229,$XAA$2:$XAA$254,0)+COUNTIF($XAA$2:XAA229,XAA229)-1,"")</f>
        <v/>
      </c>
      <c r="XAC229" s="11" t="str">
        <f t="shared" si="10"/>
        <v/>
      </c>
    </row>
    <row r="230" spans="3:6 16251:16253" x14ac:dyDescent="0.25">
      <c r="C230" s="17" t="str">
        <f t="shared" si="11"/>
        <v/>
      </c>
      <c r="D230" s="3"/>
      <c r="E230" s="6"/>
      <c r="F230" s="9"/>
      <c r="XAA230" t="str">
        <f t="shared" si="9"/>
        <v/>
      </c>
      <c r="XAB230" t="str">
        <f>IF(ISNUMBER(XAA230),_xlfn.RANK.EQ(XAA230,$XAA$2:$XAA$254,0)+COUNTIF($XAA$2:XAA230,XAA230)-1,"")</f>
        <v/>
      </c>
      <c r="XAC230" s="11" t="str">
        <f t="shared" si="10"/>
        <v/>
      </c>
    </row>
    <row r="231" spans="3:6 16251:16253" x14ac:dyDescent="0.25">
      <c r="C231" s="17" t="str">
        <f t="shared" si="11"/>
        <v/>
      </c>
      <c r="D231" s="3"/>
      <c r="E231" s="6"/>
      <c r="F231" s="9"/>
      <c r="XAA231" t="str">
        <f t="shared" si="9"/>
        <v/>
      </c>
      <c r="XAB231" t="str">
        <f>IF(ISNUMBER(XAA231),_xlfn.RANK.EQ(XAA231,$XAA$2:$XAA$254,0)+COUNTIF($XAA$2:XAA231,XAA231)-1,"")</f>
        <v/>
      </c>
      <c r="XAC231" s="11" t="str">
        <f t="shared" si="10"/>
        <v/>
      </c>
    </row>
    <row r="232" spans="3:6 16251:16253" x14ac:dyDescent="0.25">
      <c r="C232" s="17" t="str">
        <f t="shared" si="11"/>
        <v/>
      </c>
      <c r="D232" s="3"/>
      <c r="E232" s="6"/>
      <c r="F232" s="9"/>
      <c r="XAA232" t="str">
        <f t="shared" si="9"/>
        <v/>
      </c>
      <c r="XAB232" t="str">
        <f>IF(ISNUMBER(XAA232),_xlfn.RANK.EQ(XAA232,$XAA$2:$XAA$254,0)+COUNTIF($XAA$2:XAA232,XAA232)-1,"")</f>
        <v/>
      </c>
      <c r="XAC232" s="11" t="str">
        <f t="shared" si="10"/>
        <v/>
      </c>
    </row>
    <row r="233" spans="3:6 16251:16253" x14ac:dyDescent="0.25">
      <c r="C233" s="17" t="str">
        <f t="shared" si="11"/>
        <v/>
      </c>
      <c r="D233" s="3"/>
      <c r="E233" s="6"/>
      <c r="F233" s="9"/>
      <c r="XAA233" t="str">
        <f t="shared" si="9"/>
        <v/>
      </c>
      <c r="XAB233" t="str">
        <f>IF(ISNUMBER(XAA233),_xlfn.RANK.EQ(XAA233,$XAA$2:$XAA$254,0)+COUNTIF($XAA$2:XAA233,XAA233)-1,"")</f>
        <v/>
      </c>
      <c r="XAC233" s="11" t="str">
        <f t="shared" si="10"/>
        <v/>
      </c>
    </row>
    <row r="234" spans="3:6 16251:16253" x14ac:dyDescent="0.25">
      <c r="C234" s="17" t="str">
        <f t="shared" si="11"/>
        <v/>
      </c>
      <c r="D234" s="3"/>
      <c r="E234" s="6"/>
      <c r="F234" s="9"/>
      <c r="XAA234" t="str">
        <f t="shared" si="9"/>
        <v/>
      </c>
      <c r="XAB234" t="str">
        <f>IF(ISNUMBER(XAA234),_xlfn.RANK.EQ(XAA234,$XAA$2:$XAA$254,0)+COUNTIF($XAA$2:XAA234,XAA234)-1,"")</f>
        <v/>
      </c>
      <c r="XAC234" s="11" t="str">
        <f t="shared" si="10"/>
        <v/>
      </c>
    </row>
    <row r="235" spans="3:6 16251:16253" x14ac:dyDescent="0.25">
      <c r="C235" s="17" t="str">
        <f t="shared" si="11"/>
        <v/>
      </c>
      <c r="D235" s="3"/>
      <c r="E235" s="6"/>
      <c r="F235" s="9"/>
      <c r="XAA235" t="str">
        <f t="shared" si="9"/>
        <v/>
      </c>
      <c r="XAB235" t="str">
        <f>IF(ISNUMBER(XAA235),_xlfn.RANK.EQ(XAA235,$XAA$2:$XAA$254,0)+COUNTIF($XAA$2:XAA235,XAA235)-1,"")</f>
        <v/>
      </c>
      <c r="XAC235" s="11" t="str">
        <f t="shared" si="10"/>
        <v/>
      </c>
    </row>
    <row r="236" spans="3:6 16251:16253" x14ac:dyDescent="0.25">
      <c r="C236" s="17" t="str">
        <f t="shared" si="11"/>
        <v/>
      </c>
      <c r="D236" s="3"/>
      <c r="E236" s="6"/>
      <c r="F236" s="9"/>
      <c r="XAA236" t="str">
        <f t="shared" si="9"/>
        <v/>
      </c>
      <c r="XAB236" t="str">
        <f>IF(ISNUMBER(XAA236),_xlfn.RANK.EQ(XAA236,$XAA$2:$XAA$254,0)+COUNTIF($XAA$2:XAA236,XAA236)-1,"")</f>
        <v/>
      </c>
      <c r="XAC236" s="11" t="str">
        <f t="shared" si="10"/>
        <v/>
      </c>
    </row>
    <row r="237" spans="3:6 16251:16253" x14ac:dyDescent="0.25">
      <c r="C237" s="17" t="str">
        <f t="shared" si="11"/>
        <v/>
      </c>
      <c r="D237" s="3"/>
      <c r="E237" s="6"/>
      <c r="F237" s="9"/>
      <c r="XAA237" t="str">
        <f t="shared" si="9"/>
        <v/>
      </c>
      <c r="XAB237" t="str">
        <f>IF(ISNUMBER(XAA237),_xlfn.RANK.EQ(XAA237,$XAA$2:$XAA$254,0)+COUNTIF($XAA$2:XAA237,XAA237)-1,"")</f>
        <v/>
      </c>
      <c r="XAC237" s="11" t="str">
        <f t="shared" si="10"/>
        <v/>
      </c>
    </row>
    <row r="238" spans="3:6 16251:16253" x14ac:dyDescent="0.25">
      <c r="C238" s="17" t="str">
        <f t="shared" si="11"/>
        <v/>
      </c>
      <c r="D238" s="3"/>
      <c r="E238" s="6"/>
      <c r="F238" s="9"/>
      <c r="XAA238" t="str">
        <f t="shared" si="9"/>
        <v/>
      </c>
      <c r="XAB238" t="str">
        <f>IF(ISNUMBER(XAA238),_xlfn.RANK.EQ(XAA238,$XAA$2:$XAA$254,0)+COUNTIF($XAA$2:XAA238,XAA238)-1,"")</f>
        <v/>
      </c>
      <c r="XAC238" s="11" t="str">
        <f t="shared" si="10"/>
        <v/>
      </c>
    </row>
    <row r="239" spans="3:6 16251:16253" x14ac:dyDescent="0.25">
      <c r="C239" s="17" t="str">
        <f t="shared" si="11"/>
        <v/>
      </c>
      <c r="D239" s="3"/>
      <c r="E239" s="6"/>
      <c r="F239" s="9"/>
      <c r="XAA239" t="str">
        <f t="shared" si="9"/>
        <v/>
      </c>
      <c r="XAB239" t="str">
        <f>IF(ISNUMBER(XAA239),_xlfn.RANK.EQ(XAA239,$XAA$2:$XAA$254,0)+COUNTIF($XAA$2:XAA239,XAA239)-1,"")</f>
        <v/>
      </c>
      <c r="XAC239" s="11" t="str">
        <f t="shared" si="10"/>
        <v/>
      </c>
    </row>
    <row r="240" spans="3:6 16251:16253" x14ac:dyDescent="0.25">
      <c r="C240" s="17" t="str">
        <f t="shared" si="11"/>
        <v/>
      </c>
      <c r="D240" s="3"/>
      <c r="E240" s="6"/>
      <c r="F240" s="9"/>
      <c r="XAA240" t="str">
        <f t="shared" si="9"/>
        <v/>
      </c>
      <c r="XAB240" t="str">
        <f>IF(ISNUMBER(XAA240),_xlfn.RANK.EQ(XAA240,$XAA$2:$XAA$254,0)+COUNTIF($XAA$2:XAA240,XAA240)-1,"")</f>
        <v/>
      </c>
      <c r="XAC240" s="11" t="str">
        <f t="shared" si="10"/>
        <v/>
      </c>
    </row>
    <row r="241" spans="3:6 16251:16253" x14ac:dyDescent="0.25">
      <c r="C241" s="17" t="str">
        <f t="shared" si="11"/>
        <v/>
      </c>
      <c r="D241" s="3"/>
      <c r="E241" s="6"/>
      <c r="F241" s="9"/>
      <c r="XAA241" t="str">
        <f t="shared" si="9"/>
        <v/>
      </c>
      <c r="XAB241" t="str">
        <f>IF(ISNUMBER(XAA241),_xlfn.RANK.EQ(XAA241,$XAA$2:$XAA$254,0)+COUNTIF($XAA$2:XAA241,XAA241)-1,"")</f>
        <v/>
      </c>
      <c r="XAC241" s="11" t="str">
        <f t="shared" si="10"/>
        <v/>
      </c>
    </row>
    <row r="242" spans="3:6 16251:16253" x14ac:dyDescent="0.25">
      <c r="C242" s="17" t="str">
        <f t="shared" si="11"/>
        <v/>
      </c>
      <c r="D242" s="3"/>
      <c r="E242" s="6"/>
      <c r="F242" s="9"/>
      <c r="XAA242" t="str">
        <f t="shared" si="9"/>
        <v/>
      </c>
      <c r="XAB242" t="str">
        <f>IF(ISNUMBER(XAA242),_xlfn.RANK.EQ(XAA242,$XAA$2:$XAA$254,0)+COUNTIF($XAA$2:XAA242,XAA242)-1,"")</f>
        <v/>
      </c>
      <c r="XAC242" s="11" t="str">
        <f t="shared" si="10"/>
        <v/>
      </c>
    </row>
    <row r="243" spans="3:6 16251:16253" x14ac:dyDescent="0.25">
      <c r="C243" s="17" t="str">
        <f t="shared" si="11"/>
        <v/>
      </c>
      <c r="D243" s="3"/>
      <c r="E243" s="6"/>
      <c r="F243" s="9"/>
      <c r="XAA243" t="str">
        <f t="shared" si="9"/>
        <v/>
      </c>
      <c r="XAB243" t="str">
        <f>IF(ISNUMBER(XAA243),_xlfn.RANK.EQ(XAA243,$XAA$2:$XAA$254,0)+COUNTIF($XAA$2:XAA243,XAA243)-1,"")</f>
        <v/>
      </c>
      <c r="XAC243" s="11" t="str">
        <f t="shared" si="10"/>
        <v/>
      </c>
    </row>
    <row r="244" spans="3:6 16251:16253" x14ac:dyDescent="0.25">
      <c r="C244" s="17" t="str">
        <f t="shared" si="11"/>
        <v/>
      </c>
      <c r="D244" s="3"/>
      <c r="E244" s="6"/>
      <c r="F244" s="9"/>
      <c r="XAA244" t="str">
        <f t="shared" si="9"/>
        <v/>
      </c>
      <c r="XAB244" t="str">
        <f>IF(ISNUMBER(XAA244),_xlfn.RANK.EQ(XAA244,$XAA$2:$XAA$254,0)+COUNTIF($XAA$2:XAA244,XAA244)-1,"")</f>
        <v/>
      </c>
      <c r="XAC244" s="11" t="str">
        <f t="shared" si="10"/>
        <v/>
      </c>
    </row>
    <row r="245" spans="3:6 16251:16253" x14ac:dyDescent="0.25">
      <c r="C245" s="17" t="str">
        <f t="shared" si="11"/>
        <v/>
      </c>
      <c r="D245" s="3"/>
      <c r="E245" s="6"/>
      <c r="F245" s="9"/>
      <c r="XAA245" t="str">
        <f t="shared" si="9"/>
        <v/>
      </c>
      <c r="XAB245" t="str">
        <f>IF(ISNUMBER(XAA245),_xlfn.RANK.EQ(XAA245,$XAA$2:$XAA$254,0)+COUNTIF($XAA$2:XAA245,XAA245)-1,"")</f>
        <v/>
      </c>
      <c r="XAC245" s="11" t="str">
        <f t="shared" si="10"/>
        <v/>
      </c>
    </row>
    <row r="246" spans="3:6 16251:16253" x14ac:dyDescent="0.25">
      <c r="C246" s="17" t="str">
        <f t="shared" si="11"/>
        <v/>
      </c>
      <c r="D246" s="3"/>
      <c r="E246" s="6"/>
      <c r="F246" s="9"/>
      <c r="XAA246" t="str">
        <f t="shared" si="9"/>
        <v/>
      </c>
      <c r="XAB246" t="str">
        <f>IF(ISNUMBER(XAA246),_xlfn.RANK.EQ(XAA246,$XAA$2:$XAA$254,0)+COUNTIF($XAA$2:XAA246,XAA246)-1,"")</f>
        <v/>
      </c>
      <c r="XAC246" s="11" t="str">
        <f t="shared" si="10"/>
        <v/>
      </c>
    </row>
    <row r="247" spans="3:6 16251:16253" x14ac:dyDescent="0.25">
      <c r="C247" s="17" t="str">
        <f t="shared" si="11"/>
        <v/>
      </c>
      <c r="D247" s="3"/>
      <c r="E247" s="6"/>
      <c r="F247" s="9"/>
      <c r="XAA247" t="str">
        <f t="shared" si="9"/>
        <v/>
      </c>
      <c r="XAB247" t="str">
        <f>IF(ISNUMBER(XAA247),_xlfn.RANK.EQ(XAA247,$XAA$2:$XAA$254,0)+COUNTIF($XAA$2:XAA247,XAA247)-1,"")</f>
        <v/>
      </c>
      <c r="XAC247" s="11" t="str">
        <f t="shared" si="10"/>
        <v/>
      </c>
    </row>
    <row r="248" spans="3:6 16251:16253" x14ac:dyDescent="0.25">
      <c r="C248" s="17" t="str">
        <f t="shared" si="11"/>
        <v/>
      </c>
      <c r="D248" s="3"/>
      <c r="E248" s="6"/>
      <c r="F248" s="9"/>
      <c r="XAA248" t="str">
        <f t="shared" si="9"/>
        <v/>
      </c>
      <c r="XAB248" t="str">
        <f>IF(ISNUMBER(XAA248),_xlfn.RANK.EQ(XAA248,$XAA$2:$XAA$254,0)+COUNTIF($XAA$2:XAA248,XAA248)-1,"")</f>
        <v/>
      </c>
      <c r="XAC248" s="11" t="str">
        <f t="shared" si="10"/>
        <v/>
      </c>
    </row>
    <row r="249" spans="3:6 16251:16253" x14ac:dyDescent="0.25">
      <c r="C249" s="17" t="str">
        <f t="shared" si="11"/>
        <v/>
      </c>
      <c r="D249" s="3"/>
      <c r="E249" s="6"/>
      <c r="F249" s="9"/>
      <c r="XAA249" t="str">
        <f t="shared" si="9"/>
        <v/>
      </c>
      <c r="XAB249" t="str">
        <f>IF(ISNUMBER(XAA249),_xlfn.RANK.EQ(XAA249,$XAA$2:$XAA$254,0)+COUNTIF($XAA$2:XAA249,XAA249)-1,"")</f>
        <v/>
      </c>
      <c r="XAC249" s="11" t="str">
        <f t="shared" si="10"/>
        <v/>
      </c>
    </row>
    <row r="250" spans="3:6 16251:16253" x14ac:dyDescent="0.25">
      <c r="C250" s="17" t="str">
        <f t="shared" si="11"/>
        <v/>
      </c>
      <c r="D250" s="3"/>
      <c r="E250" s="6"/>
      <c r="F250" s="9"/>
      <c r="XAA250" t="str">
        <f t="shared" si="9"/>
        <v/>
      </c>
      <c r="XAB250" t="str">
        <f>IF(ISNUMBER(XAA250),_xlfn.RANK.EQ(XAA250,$XAA$2:$XAA$254,0)+COUNTIF($XAA$2:XAA250,XAA250)-1,"")</f>
        <v/>
      </c>
      <c r="XAC250" s="11" t="str">
        <f t="shared" si="10"/>
        <v/>
      </c>
    </row>
    <row r="251" spans="3:6 16251:16253" x14ac:dyDescent="0.25">
      <c r="C251" s="17" t="str">
        <f t="shared" si="11"/>
        <v/>
      </c>
      <c r="D251" s="3"/>
      <c r="E251" s="6"/>
      <c r="F251" s="9"/>
      <c r="XAA251" t="str">
        <f t="shared" si="9"/>
        <v/>
      </c>
      <c r="XAB251" t="str">
        <f>IF(ISNUMBER(XAA251),_xlfn.RANK.EQ(XAA251,$XAA$2:$XAA$254,0)+COUNTIF($XAA$2:XAA251,XAA251)-1,"")</f>
        <v/>
      </c>
      <c r="XAC251" s="11" t="str">
        <f t="shared" si="10"/>
        <v/>
      </c>
    </row>
    <row r="252" spans="3:6 16251:16253" x14ac:dyDescent="0.25">
      <c r="C252" s="17" t="str">
        <f t="shared" si="11"/>
        <v/>
      </c>
      <c r="D252" s="3"/>
      <c r="E252" s="6"/>
      <c r="F252" s="9"/>
      <c r="XAA252" t="str">
        <f t="shared" si="9"/>
        <v/>
      </c>
      <c r="XAB252" t="str">
        <f>IF(ISNUMBER(XAA252),_xlfn.RANK.EQ(XAA252,$XAA$2:$XAA$254,0)+COUNTIF($XAA$2:XAA252,XAA252)-1,"")</f>
        <v/>
      </c>
      <c r="XAC252" s="11" t="str">
        <f t="shared" si="10"/>
        <v/>
      </c>
    </row>
    <row r="253" spans="3:6 16251:16253" x14ac:dyDescent="0.25">
      <c r="C253" s="17" t="str">
        <f t="shared" si="11"/>
        <v/>
      </c>
      <c r="D253" s="3"/>
      <c r="E253" s="6"/>
      <c r="F253" s="9"/>
      <c r="XAA253" t="str">
        <f t="shared" si="9"/>
        <v/>
      </c>
      <c r="XAB253" t="str">
        <f>IF(ISNUMBER(XAA253),_xlfn.RANK.EQ(XAA253,$XAA$2:$XAA$254,0)+COUNTIF($XAA$2:XAA253,XAA253)-1,"")</f>
        <v/>
      </c>
      <c r="XAC253" s="11" t="str">
        <f t="shared" si="10"/>
        <v/>
      </c>
    </row>
    <row r="254" spans="3:6 16251:16253" ht="15.75" thickBot="1" x14ac:dyDescent="0.3">
      <c r="C254" s="17" t="str">
        <f t="shared" si="11"/>
        <v/>
      </c>
      <c r="D254" s="4"/>
      <c r="E254" s="7"/>
      <c r="F254" s="10"/>
      <c r="XAA254" t="str">
        <f t="shared" si="9"/>
        <v/>
      </c>
      <c r="XAB254" t="str">
        <f>IF(ISNUMBER(XAA254),_xlfn.RANK.EQ(XAA254,$XAA$2:$XAA$254,0)+COUNTIF($XAA$2:XAA254,XAA254)-1,"")</f>
        <v/>
      </c>
      <c r="XAC254" s="11" t="str">
        <f t="shared" si="10"/>
        <v/>
      </c>
    </row>
    <row r="1048574" spans="1:26" x14ac:dyDescent="0.25">
      <c r="A1048574" t="s">
        <v>4</v>
      </c>
      <c r="C1048574" t="s">
        <v>4</v>
      </c>
      <c r="D1048574" t="s">
        <v>4</v>
      </c>
      <c r="E1048574" t="s">
        <v>4</v>
      </c>
      <c r="F1048574" t="s">
        <v>4</v>
      </c>
      <c r="G1048574" t="s">
        <v>4</v>
      </c>
      <c r="H1048574" t="s">
        <v>4</v>
      </c>
      <c r="I1048574" t="s">
        <v>4</v>
      </c>
      <c r="J1048574" t="s">
        <v>4</v>
      </c>
      <c r="K1048574" t="s">
        <v>4</v>
      </c>
      <c r="L1048574" t="s">
        <v>4</v>
      </c>
      <c r="M1048574" t="s">
        <v>4</v>
      </c>
      <c r="N1048574" t="s">
        <v>4</v>
      </c>
      <c r="O1048574" t="s">
        <v>4</v>
      </c>
      <c r="P1048574" t="s">
        <v>4</v>
      </c>
      <c r="Q1048574" t="s">
        <v>4</v>
      </c>
      <c r="R1048574" t="s">
        <v>4</v>
      </c>
      <c r="S1048574" t="s">
        <v>4</v>
      </c>
      <c r="T1048574" t="s">
        <v>4</v>
      </c>
      <c r="U1048574" t="s">
        <v>4</v>
      </c>
      <c r="V1048574" t="s">
        <v>4</v>
      </c>
      <c r="W1048574" t="s">
        <v>4</v>
      </c>
      <c r="X1048574" t="s">
        <v>4</v>
      </c>
      <c r="Y1048574" t="s">
        <v>4</v>
      </c>
      <c r="Z1048574" t="s">
        <v>4</v>
      </c>
    </row>
  </sheetData>
  <sheetProtection algorithmName="SHA-512" hashValue="xjTnCfaNSlTZjLBZLIkslgRGg98esFSw1NikcNpLrvEpiw1w1T+veNbuuwPs25tB9pIehjuxzHBrHf+f8jBneg==" saltValue="NmhjeXETKXRjgtXzPSJmdg==" spinCount="100000" sheet="1" objects="1" scenarios="1"/>
  <mergeCells count="3">
    <mergeCell ref="WZS3:WZU3"/>
    <mergeCell ref="WZS4:WZU4"/>
    <mergeCell ref="WZT17:WZU17"/>
  </mergeCells>
  <phoneticPr fontId="7" type="noConversion"/>
  <conditionalFormatting sqref="D2:D21 D42:D61 D67:D71 D82:D254">
    <cfRule type="duplicateValues" dxfId="0" priority="10"/>
  </conditionalFormatting>
  <dataValidations count="2">
    <dataValidation type="list" allowBlank="1" showInputMessage="1" showErrorMessage="1" sqref="WZW4 WZW7" xr:uid="{4C7E1A90-C8D9-4FA7-B4C5-3427267F38BD}">
      <formula1>"S, N"</formula1>
    </dataValidation>
    <dataValidation type="list" errorStyle="warning" allowBlank="1" showErrorMessage="1" errorTitle="Qual é a unidade?" error="Selecione a Unidade da Questão" sqref="F2:F254" xr:uid="{ADAAD1C5-C3FA-406B-981C-EAAF310EB2EF}">
      <formula1>"Unidade 01, Unidade 02, Unidade 03, Unidade 04"</formula1>
    </dataValidation>
  </dataValidations>
  <pageMargins left="0.511811024" right="0.511811024" top="0.78740157499999996" bottom="0.78740157499999996" header="0.31496062000000002" footer="0.31496062000000002"/>
  <pageSetup paperSize="9" orientation="portrait" horizontalDpi="200" verticalDpi="20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78BA966488403A4180A48193C6910E00" ma:contentTypeVersion="2" ma:contentTypeDescription="Crie um novo documento." ma:contentTypeScope="" ma:versionID="5c646d8e70d68d60a6f7398ad86f00d2">
  <xsd:schema xmlns:xsd="http://www.w3.org/2001/XMLSchema" xmlns:xs="http://www.w3.org/2001/XMLSchema" xmlns:p="http://schemas.microsoft.com/office/2006/metadata/properties" xmlns:ns3="ee1655e3-cfa0-4ff2-9045-b44b8805ef99" targetNamespace="http://schemas.microsoft.com/office/2006/metadata/properties" ma:root="true" ma:fieldsID="089c8f195827c75d0d0f6dfb15a32b6d" ns3:_="">
    <xsd:import namespace="ee1655e3-cfa0-4ff2-9045-b44b8805ef99"/>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1655e3-cfa0-4ff2-9045-b44b8805ef9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8CFD2C1-A6F6-487D-A488-AF9A38C30B61}">
  <ds:schemaRefs>
    <ds:schemaRef ds:uri="http://schemas.microsoft.com/sharepoint/v3/contenttype/forms"/>
  </ds:schemaRefs>
</ds:datastoreItem>
</file>

<file path=customXml/itemProps2.xml><?xml version="1.0" encoding="utf-8"?>
<ds:datastoreItem xmlns:ds="http://schemas.openxmlformats.org/officeDocument/2006/customXml" ds:itemID="{97E070FA-64E3-4592-B79B-3C27091BD4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1655e3-cfa0-4ff2-9045-b44b8805ef9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A319F65-85E2-4D6A-809F-9E46FB43815A}">
  <ds:schemaRefs>
    <ds:schemaRef ds:uri="http://schemas.microsoft.com/office/2006/documentManagement/type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ee1655e3-cfa0-4ff2-9045-b44b8805ef99"/>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2</vt:i4>
      </vt:variant>
    </vt:vector>
  </HeadingPairs>
  <TitlesOfParts>
    <vt:vector size="2" baseType="lpstr">
      <vt:lpstr>P00</vt:lpstr>
      <vt:lpstr>P01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suporte.carlosperez</dc:creator>
  <cp:lastModifiedBy>SEARCH-AC</cp:lastModifiedBy>
  <dcterms:created xsi:type="dcterms:W3CDTF">2023-02-17T19:32:19Z</dcterms:created>
  <dcterms:modified xsi:type="dcterms:W3CDTF">2023-04-06T21:46:02Z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0x01010078BA966488403A4180A48193C6910E00</vt:lpwstr>
  </property>
</Properties>
</file>